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icing" sheetId="2" state="visible" r:id="rId4"/>
    <sheet name="Limitations &amp; Enterprise Fit" sheetId="3" state="visible" r:id="rId5"/>
    <sheet name="Dentsu Requirements Fit" sheetId="4" state="visible" r:id="rId6"/>
    <sheet name="Features &amp; Volumes" sheetId="5" state="visible" r:id="rId7"/>
    <sheet name="Gaps &amp; Ris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5" authorId="0">
      <text>
        <r>
          <rPr>
            <sz val="10"/>
            <rFont val="Arial"/>
            <family val="2"/>
          </rPr>
          <t xml:space="preserve">Source: Viral Pitch Dentsu Proposal, slides 15 &amp; 36: $2,999/month, 12-month, Indonesia-only.</t>
        </r>
      </text>
    </comment>
    <comment ref="N8" authorId="0">
      <text>
        <r>
          <rPr>
            <sz val="10"/>
            <rFont val="Arial"/>
            <family val="2"/>
          </rPr>
          <t xml:space="preserve">Source: provided by user, 30 Sep 2026: HypeAuditor baseline $55k/year.</t>
        </r>
      </text>
    </comment>
  </commentList>
</comments>
</file>

<file path=xl/sharedStrings.xml><?xml version="1.0" encoding="utf-8"?>
<sst xmlns="http://schemas.openxmlformats.org/spreadsheetml/2006/main" count="778" uniqueCount="513">
  <si>
    <t xml:space="preserve">Influencer Intelligence Platforms — HypeAuditor vs Viral Pitch vs CultureX</t>
  </si>
  <si>
    <t xml:space="preserve">Prepared for Dentsu Influence Indonesia, 30 Sep 2026. All prices in USD, excluding tax. Figures link to the Pricing, Requirements and Limitations tabs.</t>
  </si>
  <si>
    <t xml:space="preserve">HypeAuditor</t>
  </si>
  <si>
    <t xml:space="preserve">Viral Pitch</t>
  </si>
  <si>
    <t xml:space="preserve">CultureX</t>
  </si>
  <si>
    <t xml:space="preserve">Role in evaluation</t>
  </si>
  <si>
    <t xml:space="preserve">Incumbent (responded to 12 feedback items)</t>
  </si>
  <si>
    <t xml:space="preserve">Challenger (proposal, Sep 2026)</t>
  </si>
  <si>
    <t xml:space="preserve">Challenger (Enterprise UNLIMITED plan)</t>
  </si>
  <si>
    <t xml:space="preserve">Base licence, 12-month Indonesia (annual)</t>
  </si>
  <si>
    <t xml:space="preserve">Year-1 cost incl. TikTok competitor analysis</t>
  </si>
  <si>
    <t xml:space="preserve">Year-1 cost vs Viral Pitch</t>
  </si>
  <si>
    <t xml:space="preserve">RFP options priced</t>
  </si>
  <si>
    <t xml:space="preserve">Baseline only ($55k / yr)</t>
  </si>
  <si>
    <t xml:space="preserve">1 of 6</t>
  </si>
  <si>
    <t xml:space="preserve">6 of 6</t>
  </si>
  <si>
    <t xml:space="preserve">Requirements met / partial (of 12)</t>
  </si>
  <si>
    <t xml:space="preserve">Capacity checks 'Not enough' (of 12)</t>
  </si>
  <si>
    <t xml:space="preserve">High-severity limitations</t>
  </si>
  <si>
    <t xml:space="preserve">Enterprise-level verdict</t>
  </si>
  <si>
    <t xml:space="preserve">Biggest limitation</t>
  </si>
  <si>
    <t xml:space="preserve">TikTok competitor analysis costs an extra $150,000; 15–20 brands &amp; keyword tracking are unpriced custom work</t>
  </si>
  <si>
    <t xml:space="preserve">15,000 advanced influencer profiles / year, 8 logins, 25,000 comments / month; 5 of 6 prices pending</t>
  </si>
  <si>
    <t xml:space="preserve">200 campaigns &amp; 200 ROI reports / year; 3,000 posts &amp; 10,000 comments / month; outreach modules '–'</t>
  </si>
  <si>
    <t xml:space="preserve">Key strengths</t>
  </si>
  <si>
    <t xml:space="preserve">Already in use; history extended to 2 years; CPE / CPM / ROI in Campaign Management; CPV / CTR / VTR committed for Q3</t>
  </si>
  <si>
    <t xml:space="preserve">Lowest price; most volumes 'Unlimited'; full end-to-end workflow with AI automation; 30-person Indonesia team; comment-level sentiment</t>
  </si>
  <si>
    <t xml:space="preserve">All 6 options priced with clear terms; ID + TH coverage; explicit caps and SLA; DocuSeal e-sign; named CSM</t>
  </si>
  <si>
    <t xml:space="preserve">Key takeaways</t>
  </si>
  <si>
    <t xml:space="preserve">HypeAuditor is the weakest fit on features: 4 High-severity gaps (TikTok competitor analysis, 5-brand limit, no keyword tracking, no comment-level sentiment). Closing them costs $150,000 plus custom work it hasn't priced.</t>
  </si>
  <si>
    <t xml:space="preserve">CultureX has the tightest volumes. At the assumed enterprise usage, most of its capped modules (campaigns, ROI reports, post &amp; comment analysis, hashtags, CRM) come in below need, and its outreach modules are '–'.</t>
  </si>
  <si>
    <t xml:space="preserve">Viral Pitch has the fewest volume limits. The ones to negotiate before signing: 15,000 advanced profiles / year, 8 logins, 25,000 comments / month, and firm prices for the other 5 options.</t>
  </si>
  <si>
    <t xml:space="preserve">Change the yellow assumption cells on 'Limitations &amp; Enterprise Fit' to match Dentsu's real volumes. Every flag and verdict recalculates.</t>
  </si>
  <si>
    <t xml:space="preserve">Sources</t>
  </si>
  <si>
    <t xml:space="preserve">Viral Pitch: Viral_Pitch_Dentsu_Proposal_3.pptx (Sep 2026), slides 7–20 and 34–36</t>
  </si>
  <si>
    <t xml:space="preserve">CultureX: 'CX &lt;&gt; Dentsu Indonesia_Enterprise UNLIMITED Plan_2026' Google Sheet (screenshots provided 30 Sep 2026)</t>
  </si>
  <si>
    <t xml:space="preserve">HypeAuditor: Dentsu__Hypeauditor_Feature_Feedback.xlsx (12 feedback items with HypeAuditor responses and add-on quotes); $55k / yr baseline provided by user</t>
  </si>
  <si>
    <t xml:space="preserve">Pricing Comparison — 6 RFP Contract Options (USD, excl. tax)</t>
  </si>
  <si>
    <t xml:space="preserve">Blue = figures from vendor documents. Black = formulas. Viral Pitch: only the 12-month Indonesia option is confirmed (slides 15 &amp; 36). CultureX: the '6 Contract Options' sheet. HypeAuditor: $55,000 / year baseline provided by you (12-month option only) plus its add-on quotes.</t>
  </si>
  <si>
    <t xml:space="preserve">Option</t>
  </si>
  <si>
    <t xml:space="preserve">Market scope</t>
  </si>
  <si>
    <t xml:space="preserve">Term (months)</t>
  </si>
  <si>
    <t xml:space="preserve">Viral Pitch
Total contract</t>
  </si>
  <si>
    <t xml:space="preserve">Viral Pitch
Monthly equiv.</t>
  </si>
  <si>
    <t xml:space="preserve">Viral Pitch
Annual equiv.</t>
  </si>
  <si>
    <t xml:space="preserve">CultureX
Total contract</t>
  </si>
  <si>
    <t xml:space="preserve">CultureX
Monthly equiv.</t>
  </si>
  <si>
    <t xml:space="preserve">CultureX
Annual equiv.</t>
  </si>
  <si>
    <t xml:space="preserve">HypeAuditor
Total contract</t>
  </si>
  <si>
    <t xml:space="preserve">HypeAuditor
Monthly equiv.</t>
  </si>
  <si>
    <t xml:space="preserve">CultureX vs Viral Pitch
(annual difference)</t>
  </si>
  <si>
    <t xml:space="preserve">Viral Pitch confirmed monthly rate</t>
  </si>
  <si>
    <t xml:space="preserve">Note</t>
  </si>
  <si>
    <t xml:space="preserve">Option 1</t>
  </si>
  <si>
    <t xml:space="preserve">Indonesia only (6-mo pilot, +25%)</t>
  </si>
  <si>
    <t xml:space="preserve">In progress</t>
  </si>
  <si>
    <t xml:space="preserve">Not quoted</t>
  </si>
  <si>
    <t xml:space="preserve">Used for Option 3 only. The other 5 options are 'In progress' per Viral Pitch.</t>
  </si>
  <si>
    <t xml:space="preserve">Option 2</t>
  </si>
  <si>
    <t xml:space="preserve">Indonesia + Thailand (6-mo pilot)</t>
  </si>
  <si>
    <t xml:space="preserve">Option 3</t>
  </si>
  <si>
    <t xml:space="preserve">Indonesia only</t>
  </si>
  <si>
    <t xml:space="preserve">HypeAuditor baseline annual price</t>
  </si>
  <si>
    <t xml:space="preserve">Option 4</t>
  </si>
  <si>
    <t xml:space="preserve">Indonesia + Thailand</t>
  </si>
  <si>
    <t xml:space="preserve">Annual baseline, applied to the 12-month option. HypeAuditor hasn't quoted the other options.</t>
  </si>
  <si>
    <t xml:space="preserve">Option 5</t>
  </si>
  <si>
    <t xml:space="preserve">Indonesia only (24-mo, −15%)</t>
  </si>
  <si>
    <t xml:space="preserve">Option 6</t>
  </si>
  <si>
    <t xml:space="preserve">Indonesia + Thailand (24-mo, −15%)</t>
  </si>
  <si>
    <t xml:space="preserve">Like-for-like: Option 3 (12 months, Indonesia only), base licence</t>
  </si>
  <si>
    <t xml:space="preserve">Viral Pitch annual</t>
  </si>
  <si>
    <t xml:space="preserve">CultureX annual</t>
  </si>
  <si>
    <t xml:space="preserve">HypeAuditor annual (baseline)</t>
  </si>
  <si>
    <t xml:space="preserve">CultureX premium over Viral Pitch (USD)</t>
  </si>
  <si>
    <t xml:space="preserve">CultureX premium over Viral Pitch (%)</t>
  </si>
  <si>
    <t xml:space="preserve">HypeAuditor premium over Viral Pitch (USD)</t>
  </si>
  <si>
    <t xml:space="preserve">HypeAuditor premium over Viral Pitch (%)</t>
  </si>
  <si>
    <t xml:space="preserve">Viral Pitch saving vs CultureX (%)</t>
  </si>
  <si>
    <t xml:space="preserve">Year-1 cost to meet Dentsu's requirements (12 months, Indonesia)</t>
  </si>
  <si>
    <t xml:space="preserve">Cost line</t>
  </si>
  <si>
    <t xml:space="preserve">Comment</t>
  </si>
  <si>
    <t xml:space="preserve">Base licence (annual)</t>
  </si>
  <si>
    <t xml:space="preserve">12-month Indonesia option</t>
  </si>
  <si>
    <t xml:space="preserve">TikTok competitor analysis</t>
  </si>
  <si>
    <t xml:space="preserve">Included</t>
  </si>
  <si>
    <t xml:space="preserve">HypeAuditor: $150,000 custom build. Viral Pitch &amp; CultureX: included in plan</t>
  </si>
  <si>
    <t xml:space="preserve">15–20 brand comparison + keyword / Boolean tracking</t>
  </si>
  <si>
    <t xml:space="preserve">Not priced</t>
  </si>
  <si>
    <t xml:space="preserve">No extra cost quoted</t>
  </si>
  <si>
    <t xml:space="preserve">HypeAuditor: custom development, 'additional investment' not yet quoted. Viral Pitch / CultureX: no add-on fee, but Boolean keyword tracking isn't confirmed in either document</t>
  </si>
  <si>
    <t xml:space="preserve">Total known year-1 cost</t>
  </si>
  <si>
    <t xml:space="preserve">HypeAuditor total excludes the unpriced custom work, so the real figure is higher</t>
  </si>
  <si>
    <t xml:space="preserve">Multiple of Viral Pitch cost</t>
  </si>
  <si>
    <t xml:space="preserve">Commercial terms</t>
  </si>
  <si>
    <t xml:space="preserve">Term</t>
  </si>
  <si>
    <t xml:space="preserve">Pricing status</t>
  </si>
  <si>
    <t xml:space="preserve">Baseline $55,000 / year (provided by user); add-ons quoted separately</t>
  </si>
  <si>
    <t xml:space="preserve">1 of 6 options confirmed; 5 in progress</t>
  </si>
  <si>
    <t xml:space="preserve">All 6 options priced</t>
  </si>
  <si>
    <t xml:space="preserve">Payment structure</t>
  </si>
  <si>
    <t xml:space="preserve">Not stated</t>
  </si>
  <si>
    <t xml:space="preserve">100% in advance (6 &amp; 12 months); 24 months paid in two annual tranches (50% each)</t>
  </si>
  <si>
    <t xml:space="preserve">Taxes</t>
  </si>
  <si>
    <t xml:space="preserve">To be itemised in final commercial submission</t>
  </si>
  <si>
    <t xml:space="preserve">Excluded (all prices exclude applicable taxes)</t>
  </si>
  <si>
    <t xml:space="preserve">Pricing model</t>
  </si>
  <si>
    <t xml:space="preserve">Annual licence plus custom-development fees for gaps</t>
  </si>
  <si>
    <t xml:space="preserve">Modular platform licence; 'Unlimited' items under fair-usage policy</t>
  </si>
  <si>
    <t xml:space="preserve">One enterprise plan with all modules; pilot +25%; ID+TH +33%; 24-month −15% with price lock</t>
  </si>
  <si>
    <t xml:space="preserve">Exclusions / extras</t>
  </si>
  <si>
    <t xml:space="preserve">TikTok competitor analysis $150,000 (custom); extra history $36,000 / yr per year; 15–20 brands &amp; keyword tracking = custom dev (unpriced)</t>
  </si>
  <si>
    <t xml:space="preserve">Final quote to itemise implementation, onboarding, training, support, API access, data limits, optional modules and third-party charges</t>
  </si>
  <si>
    <t xml:space="preserve">WhatsApp Business API charges (passed through at cost); custom development; credit top-ups if annual allocations are exceeded</t>
  </si>
  <si>
    <t xml:space="preserve">Usage controls</t>
  </si>
  <si>
    <t xml:space="preserve">Fair-usage policy</t>
  </si>
  <si>
    <t xml:space="preserve">Quarterly usage review; 30-day good-faith talks, then CultureX may propose a plan amendment on 60 days' notice</t>
  </si>
  <si>
    <t xml:space="preserve">Note: CultureX's own sheet shows Option 2 annual value as $89,775 (rounding). The formula here gives $89,776.</t>
  </si>
  <si>
    <t xml:space="preserve">HypeAuditor add-on quotes (from Dentsu Hypeauditor Feature Feedback, HypeAuditor Response column)</t>
  </si>
  <si>
    <t xml:space="preserve">#</t>
  </si>
  <si>
    <t xml:space="preserve">Add-on</t>
  </si>
  <si>
    <t xml:space="preserve">Cost (USD)</t>
  </si>
  <si>
    <t xml:space="preserve">Basis</t>
  </si>
  <si>
    <t xml:space="preserve">Status</t>
  </si>
  <si>
    <t xml:space="preserve">1 &amp; 6</t>
  </si>
  <si>
    <t xml:space="preserve">TikTok competitor analysis (SOV, comparisons, exports)</t>
  </si>
  <si>
    <t xml:space="preserve">One-off custom development</t>
  </si>
  <si>
    <t xml:space="preserve">Outside standard roadmap</t>
  </si>
  <si>
    <t xml:space="preserve">4</t>
  </si>
  <si>
    <t xml:space="preserve">Each additional year of history beyond 2 years</t>
  </si>
  <si>
    <t xml:space="preserve">Per extra year, per year</t>
  </si>
  <si>
    <t xml:space="preserve">2 years already extended at no stated cost</t>
  </si>
  <si>
    <t xml:space="preserve">3</t>
  </si>
  <si>
    <t xml:space="preserve">Compare 15–20 competitor brands</t>
  </si>
  <si>
    <t xml:space="preserve">Custom development</t>
  </si>
  <si>
    <t xml:space="preserve">'Additional investment' required</t>
  </si>
  <si>
    <t xml:space="preserve">7</t>
  </si>
  <si>
    <t xml:space="preserve">Keyword &amp; Boolean keyword tracking</t>
  </si>
  <si>
    <t xml:space="preserve">Custom development after R&amp;D</t>
  </si>
  <si>
    <t xml:space="preserve">'Additional implementation cost'</t>
  </si>
  <si>
    <t xml:space="preserve">2</t>
  </si>
  <si>
    <t xml:space="preserve">CPV / CTR / VTR benchmarking (manual cost input)</t>
  </si>
  <si>
    <t xml:space="preserve">Product roadmap</t>
  </si>
  <si>
    <t xml:space="preserve">Committed for Q3</t>
  </si>
  <si>
    <t xml:space="preserve">9</t>
  </si>
  <si>
    <t xml:space="preserve">Estimated Impressions for static posts</t>
  </si>
  <si>
    <t xml:space="preserve">Planned for Q4</t>
  </si>
  <si>
    <t xml:space="preserve">Priced add-ons, year 1 (TikTok build + 1 extra history year)</t>
  </si>
  <si>
    <t xml:space="preserve">On top of the HypeAuditor base licence, and only if Dentsu wants history beyond 2 years. The TikTok build alone is $150,000.</t>
  </si>
  <si>
    <t xml:space="preserve">Limitations &amp; Enterprise-Scale Check</t>
  </si>
  <si>
    <t xml:space="preserve">Each vendor's caps are compared with an enterprise usage profile for Dentsu Influence Indonesia. The yellow cells are assumptions: edit them and every status and flag recalculates. 'Enough' means the cap covers the need with the headroom set in B20.</t>
  </si>
  <si>
    <t xml:space="preserve">A. Enterprise usage assumptions (edit the yellow cells)</t>
  </si>
  <si>
    <t xml:space="preserve">Campaigns per year</t>
  </si>
  <si>
    <t xml:space="preserve">Assumption: ~25 campaigns / month across ID + TH advertiser clients</t>
  </si>
  <si>
    <t xml:space="preserve">Active advertiser clients</t>
  </si>
  <si>
    <t xml:space="preserve">Assumption</t>
  </si>
  <si>
    <t xml:space="preserve">Creators vetted per campaign (deep profile)</t>
  </si>
  <si>
    <t xml:space="preserve">Assumption: shortlist depth before contracting</t>
  </si>
  <si>
    <t xml:space="preserve">Pitches / QBRs needing creator research per year</t>
  </si>
  <si>
    <t xml:space="preserve">Assumption: new business + QBRs (listed as an objective in the RFP brief)</t>
  </si>
  <si>
    <t xml:space="preserve">Creators researched per pitch</t>
  </si>
  <si>
    <t xml:space="preserve">Brand &amp; competitor accounts monitored</t>
  </si>
  <si>
    <t xml:space="preserve">Assumption: ~5 brand / competitor accounts per client</t>
  </si>
  <si>
    <t xml:space="preserve">Posts per monitored account per month</t>
  </si>
  <si>
    <t xml:space="preserve">Assumption: ~1 post / day</t>
  </si>
  <si>
    <t xml:space="preserve">Posts needing comment-level sentiment per month</t>
  </si>
  <si>
    <t xml:space="preserve">Assumption: key posts for client reporting &amp; crisis checks</t>
  </si>
  <si>
    <t xml:space="preserve">Comments analysed per post</t>
  </si>
  <si>
    <t xml:space="preserve">Dentsu requirement: 'at least the top 100 comments' per post</t>
  </si>
  <si>
    <t xml:space="preserve">Competitor reports per client per year</t>
  </si>
  <si>
    <t xml:space="preserve">Assumption: quarterly</t>
  </si>
  <si>
    <t xml:space="preserve">Competitor brands per comparison</t>
  </si>
  <si>
    <t xml:space="preserve">Dentsu requirement: at least 15–20 brands</t>
  </si>
  <si>
    <t xml:space="preserve">Hashtags tracked at the same time</t>
  </si>
  <si>
    <t xml:space="preserve">Assumption: live-campaign hashtags + always-on brand hashtags</t>
  </si>
  <si>
    <t xml:space="preserve">Platform users</t>
  </si>
  <si>
    <t xml:space="preserve">Assumption: ID + TH influence team</t>
  </si>
  <si>
    <t xml:space="preserve">Creators held in CRM</t>
  </si>
  <si>
    <t xml:space="preserve">Assumption: existing creator database + growth</t>
  </si>
  <si>
    <t xml:space="preserve">Months of history required</t>
  </si>
  <si>
    <t xml:space="preserve">Dentsu requirement: at least 2 years</t>
  </si>
  <si>
    <t xml:space="preserve">Headroom required on usage caps</t>
  </si>
  <si>
    <t xml:space="preserve">A cap must cover 125% of the need to count as 'Enough'; 100–125% = 'Tight'</t>
  </si>
  <si>
    <t xml:space="preserve">B. Capacity check: included volume vs enterprise need</t>
  </si>
  <si>
    <t xml:space="preserve">Metric</t>
  </si>
  <si>
    <t xml:space="preserve">Enterprise need</t>
  </si>
  <si>
    <t xml:space="preserve">Headroom
applies?</t>
  </si>
  <si>
    <t xml:space="preserve">HypeAuditor
cap</t>
  </si>
  <si>
    <t xml:space="preserve">HA
coverage</t>
  </si>
  <si>
    <t xml:space="preserve">HA
status</t>
  </si>
  <si>
    <t xml:space="preserve">Viral Pitch
cap</t>
  </si>
  <si>
    <t xml:space="preserve">VP
coverage</t>
  </si>
  <si>
    <t xml:space="preserve">VP
status</t>
  </si>
  <si>
    <t xml:space="preserve">CultureX
cap</t>
  </si>
  <si>
    <t xml:space="preserve">CX
coverage</t>
  </si>
  <si>
    <t xml:space="preserve">CX
status</t>
  </si>
  <si>
    <t xml:space="preserve">How the need is calculated / note</t>
  </si>
  <si>
    <t xml:space="preserve">Advanced creator profiles / year</t>
  </si>
  <si>
    <t xml:space="preserve">Y</t>
  </si>
  <si>
    <t xml:space="preserve">Not shown</t>
  </si>
  <si>
    <t xml:space="preserve">Campaigns × creators vetted + pitches × creators researched</t>
  </si>
  <si>
    <t xml:space="preserve">Live campaigns / year</t>
  </si>
  <si>
    <t xml:space="preserve">Unlimited</t>
  </si>
  <si>
    <t xml:space="preserve">One tracked campaign per activation</t>
  </si>
  <si>
    <t xml:space="preserve">ROI / campaign reports / year</t>
  </si>
  <si>
    <t xml:space="preserve">One per campaign + a monthly report per client</t>
  </si>
  <si>
    <t xml:space="preserve">Post analysis / month</t>
  </si>
  <si>
    <t xml:space="preserve">Monitored accounts × posts per account</t>
  </si>
  <si>
    <t xml:space="preserve">Comment analysis / month</t>
  </si>
  <si>
    <t xml:space="preserve">Not offered</t>
  </si>
  <si>
    <t xml:space="preserve">Key posts × comments per post. HypeAuditor declined comment-level access</t>
  </si>
  <si>
    <t xml:space="preserve">N</t>
  </si>
  <si>
    <t xml:space="preserve">Dentsu requirement</t>
  </si>
  <si>
    <t xml:space="preserve">Competitor reports / year</t>
  </si>
  <si>
    <t xml:space="preserve">Clients × reports per client (CultureX 'Competitor Watch')</t>
  </si>
  <si>
    <t xml:space="preserve">CultureX: 100 active at once (swap pool 200 / month)</t>
  </si>
  <si>
    <t xml:space="preserve">Brand accounts monitored at the same time</t>
  </si>
  <si>
    <t xml:space="preserve">CultureX: 500 active at once</t>
  </si>
  <si>
    <t xml:space="preserve">Platform user logins</t>
  </si>
  <si>
    <t xml:space="preserve">Viral Pitch: 8 team logins (+10 operator dashboards)</t>
  </si>
  <si>
    <t xml:space="preserve">Months of historical data</t>
  </si>
  <si>
    <t xml:space="preserve">HypeAuditor: extended to 2 yrs. Viral Pitch: 24-month migration</t>
  </si>
  <si>
    <t xml:space="preserve">C. Limitations register (capacity rows follow section B; High = coverage below 75% of need or a blocking gap)</t>
  </si>
  <si>
    <t xml:space="preserve">Vendor</t>
  </si>
  <si>
    <t xml:space="preserve">Limitation</t>
  </si>
  <si>
    <t xml:space="preserve">Impact at enterprise scale</t>
  </si>
  <si>
    <t xml:space="preserve">Severity</t>
  </si>
  <si>
    <t xml:space="preserve">Type</t>
  </si>
  <si>
    <t xml:space="preserve">Source</t>
  </si>
  <si>
    <t xml:space="preserve">TikTok competitor analysis not in product</t>
  </si>
  <si>
    <t xml:space="preserve">Needs a $150,000 custom build, about 2.7× the annual licence</t>
  </si>
  <si>
    <t xml:space="preserve">High</t>
  </si>
  <si>
    <t xml:space="preserve">Add-on cost</t>
  </si>
  <si>
    <t xml:space="preserve">HA response #1 / #6</t>
  </si>
  <si>
    <t xml:space="preserve">5 brands per competitor comparison</t>
  </si>
  <si>
    <t xml:space="preserve">Dentsu needs 15–20. The upgrade is custom development and not yet priced</t>
  </si>
  <si>
    <t xml:space="preserve">Capacity</t>
  </si>
  <si>
    <t xml:space="preserve">HA response #3</t>
  </si>
  <si>
    <t xml:space="preserve">No keyword / Boolean tracking</t>
  </si>
  <si>
    <t xml:space="preserve">Hashtag-only tracking misses creator content that doesn't use the official hashtag. Custom development, unpriced</t>
  </si>
  <si>
    <t xml:space="preserve">Feature gap</t>
  </si>
  <si>
    <t xml:space="preserve">HA response #7</t>
  </si>
  <si>
    <t xml:space="preserve">Comment-level sentiment declined</t>
  </si>
  <si>
    <t xml:space="preserve">Sentiment can't be audited or backed with example comments for clients or crisis work</t>
  </si>
  <si>
    <t xml:space="preserve">HA response #5</t>
  </si>
  <si>
    <t xml:space="preserve">Shares / saves manual only; static-post impressions not until Q4</t>
  </si>
  <si>
    <t xml:space="preserve">Reports on static content stay incomplete; the team has to enter data by hand</t>
  </si>
  <si>
    <t xml:space="preserve">Medium</t>
  </si>
  <si>
    <t xml:space="preserve">HA response #8 / #9</t>
  </si>
  <si>
    <t xml:space="preserve">No Spark Ads data</t>
  </si>
  <si>
    <t xml:space="preserve">Paid amplification is left out of TikTok reporting</t>
  </si>
  <si>
    <t xml:space="preserve">HA response #11</t>
  </si>
  <si>
    <t xml:space="preserve">History beyond 2 years: $36,000 / year per extra year</t>
  </si>
  <si>
    <t xml:space="preserve">Only matters if more than 2 years of trend data is needed</t>
  </si>
  <si>
    <t xml:space="preserve">Low</t>
  </si>
  <si>
    <t xml:space="preserve">HA response #4</t>
  </si>
  <si>
    <t xml:space="preserve">15,000 advanced influencer profiles / year</t>
  </si>
  <si>
    <t xml:space="preserve">About 1,250 deep profiles a month across all clients and pitches</t>
  </si>
  <si>
    <t xml:space="preserve">VP slide 16</t>
  </si>
  <si>
    <t xml:space="preserve">8 team logins</t>
  </si>
  <si>
    <t xml:space="preserve">Access for a multi-market team has to be rationed</t>
  </si>
  <si>
    <t xml:space="preserve">VP slide 15</t>
  </si>
  <si>
    <t xml:space="preserve">Comment analysis 25,000 / month</t>
  </si>
  <si>
    <t xml:space="preserve">Covers about 250 posts at 100 comments each</t>
  </si>
  <si>
    <t xml:space="preserve">VP slide 19</t>
  </si>
  <si>
    <t xml:space="preserve">Post analysis 10,000 / month</t>
  </si>
  <si>
    <t xml:space="preserve">5 of 6 RFP price options still pending</t>
  </si>
  <si>
    <t xml:space="preserve">Can't compare 6- / 24-month or ID + TH pricing yet</t>
  </si>
  <si>
    <t xml:space="preserve">Commercial</t>
  </si>
  <si>
    <t xml:space="preserve">VP slide 36</t>
  </si>
  <si>
    <t xml:space="preserve">'Unlimited' items under an undefined fair-usage policy</t>
  </si>
  <si>
    <t xml:space="preserve">No stated thresholds, so the practical limits are unknown</t>
  </si>
  <si>
    <t xml:space="preserve">VP slides 16–20</t>
  </si>
  <si>
    <t xml:space="preserve">X &amp; Threads discovery limited</t>
  </si>
  <si>
    <t xml:space="preserve">Two platforms named in the RFP brief are under-covered</t>
  </si>
  <si>
    <t xml:space="preserve">VP slide 9</t>
  </si>
  <si>
    <t xml:space="preserve">Brand suitability not available; fraud &amp; engagement scoring in pilot; AI modules beta</t>
  </si>
  <si>
    <t xml:space="preserve">Brand-safety vetting may still need another tool</t>
  </si>
  <si>
    <t xml:space="preserve">VP slides 8, 12, 35</t>
  </si>
  <si>
    <t xml:space="preserve">No native PowerPoint export</t>
  </si>
  <si>
    <t xml:space="preserve">Decks are built manually on request</t>
  </si>
  <si>
    <t xml:space="preserve">VP slide 35</t>
  </si>
  <si>
    <t xml:space="preserve">200 live campaigns / year</t>
  </si>
  <si>
    <t xml:space="preserve">About 17 campaigns a month shared across ID + TH clients; unused allocation doesn't carry over</t>
  </si>
  <si>
    <t xml:space="preserve">CX plan</t>
  </si>
  <si>
    <t xml:space="preserve">200 ROI reports / year (100 links each)</t>
  </si>
  <si>
    <t xml:space="preserve">Not enough for one report per campaign plus monthly client reports</t>
  </si>
  <si>
    <t xml:space="preserve">Post analysis 3,000 / month (pooled)</t>
  </si>
  <si>
    <t xml:space="preserve">Spread across every monitored account in both markets</t>
  </si>
  <si>
    <t xml:space="preserve">Comment analysis 10,000 / month (pooled)</t>
  </si>
  <si>
    <t xml:space="preserve">Covers about 100 posts at 100 comments each</t>
  </si>
  <si>
    <t xml:space="preserve">100 competitor watches / year</t>
  </si>
  <si>
    <t xml:space="preserve">100 hashtags tracked at once</t>
  </si>
  <si>
    <t xml:space="preserve">Swap pool of 200 / month, shared with brand accounts</t>
  </si>
  <si>
    <t xml:space="preserve">CRM capped at 10,000 creators</t>
  </si>
  <si>
    <t xml:space="preserve">Collaboration analysis 2,000 posts / month</t>
  </si>
  <si>
    <t xml:space="preserve">Bulk email, WhatsApp &amp; Media Plans shown as '–'</t>
  </si>
  <si>
    <t xml:space="preserve">No outreach or media-planning workflow in the plan</t>
  </si>
  <si>
    <t xml:space="preserve">Quarterly usage review → plan amendment</t>
  </si>
  <si>
    <t xml:space="preserve">CultureX can reprice if usage runs high, e.g. burst alerts at 50% of allocation in the first 10 days</t>
  </si>
  <si>
    <t xml:space="preserve">Listening 'representative, not exhaustive'; hashtag capture ≥50 posts / day best-effort</t>
  </si>
  <si>
    <t xml:space="preserve">Large campaigns may be under-counted</t>
  </si>
  <si>
    <t xml:space="preserve">99% best-effort SLA; support hours in IST</t>
  </si>
  <si>
    <t xml:space="preserve">No financial SLA; support window is offset from WIB</t>
  </si>
  <si>
    <t xml:space="preserve">D. Enterprise-readiness scorecard</t>
  </si>
  <si>
    <t xml:space="preserve">Measure</t>
  </si>
  <si>
    <t xml:space="preserve">Rule</t>
  </si>
  <si>
    <t xml:space="preserve">Capacity checks: Not enough</t>
  </si>
  <si>
    <t xml:space="preserve">Of 12 capacity checks in section B</t>
  </si>
  <si>
    <t xml:space="preserve">Capacity checks: Unknown</t>
  </si>
  <si>
    <t xml:space="preserve">The vendor document doesn't state the volume</t>
  </si>
  <si>
    <t xml:space="preserve">From section C</t>
  </si>
  <si>
    <t xml:space="preserve">Medium-severity limitations</t>
  </si>
  <si>
    <t xml:space="preserve">3+ High = not enough as quoted; 1–2 High = fix before signing; 0 = ready</t>
  </si>
  <si>
    <t xml:space="preserve">Fit Against Dentsu's 12 Requirements (the gaps raised on HypeAuditor)</t>
  </si>
  <si>
    <t xml:space="preserve">Requirements come from Dentsu__Hypeauditor_Feature_Feedback.xlsx; HypeAuditor ratings reflect its own responses. Ratings are based only on what each vendor document states: Meets / Partial / Gap / Not confirmed ('Not confirmed' means the source doesn't mention it; ask the vendor).</t>
  </si>
  <si>
    <t xml:space="preserve">Requirement</t>
  </si>
  <si>
    <t xml:space="preserve">HypeAuditor — evidence</t>
  </si>
  <si>
    <t xml:space="preserve">Viral Pitch — evidence</t>
  </si>
  <si>
    <t xml:space="preserve">CultureX — evidence</t>
  </si>
  <si>
    <t xml:space="preserve">Cross-platform competitor analysis (TikTok, YouTube, X, Threads)</t>
  </si>
  <si>
    <t xml:space="preserve">Partial</t>
  </si>
  <si>
    <t xml:space="preserve">Instagram-led. TikTok competitor analysis only as custom development: $150,000 quoted</t>
  </si>
  <si>
    <t xml:space="preserve">Competitors Watch covers IG / YouTube / TikTok (rated Strong); X &amp; Threads 'limited today', on near-term roadmap</t>
  </si>
  <si>
    <t xml:space="preserve">Brand monitoring across Instagram, TikTok &amp; YouTube (ID + TH); X / Threads not listed</t>
  </si>
  <si>
    <t xml:space="preserve">Benchmarking metrics: CPV, CTR, VTR, CPE (manual cost input)</t>
  </si>
  <si>
    <t xml:space="preserve">CPE, CPM &amp; ROI auto-calculated in Campaign Management once budget is entered; CPV / CTR / VTR input committed for Q3</t>
  </si>
  <si>
    <t xml:space="preserve">UTM tracking (clicks, conversions, revenue per creator); creator costs in Media Plans; efficiency vs past performance. CPV / VTR benchmarking not explicitly stated</t>
  </si>
  <si>
    <t xml:space="preserve">UTM Tracking Tool included; cost-based efficiency metrics not stated</t>
  </si>
  <si>
    <t xml:space="preserve">Compare 15–20+ competitor brands</t>
  </si>
  <si>
    <t xml:space="preserve">Still 5 brands. 15–20 needs custom development plus extra investment (not priced)</t>
  </si>
  <si>
    <t xml:space="preserve">Meets</t>
  </si>
  <si>
    <t xml:space="preserve">Competitors Watch: Unlimited (fair-usage policy)</t>
  </si>
  <si>
    <t xml:space="preserve">100 competitor watches / yr; up to 500 brand accounts monitored simultaneously</t>
  </si>
  <si>
    <t xml:space="preserve">At least 2 years of historical data</t>
  </si>
  <si>
    <t xml:space="preserve">Extended to 2 years. Each extra year: $36,000 / year</t>
  </si>
  <si>
    <t xml:space="preserve">Migration of up to 24 months of your historical data; platform's own history depth not quantified</t>
  </si>
  <si>
    <t xml:space="preserve">Not confirmed</t>
  </si>
  <si>
    <t xml:space="preserve">Not stated in plan</t>
  </si>
  <si>
    <t xml:space="preserve">Comment-level sentiment transparency</t>
  </si>
  <si>
    <t xml:space="preserve">Gap</t>
  </si>
  <si>
    <t xml:space="preserve">Declined: won't expose comment-level sentiment (cites quality / accuracy of single-comment classification)</t>
  </si>
  <si>
    <t xml:space="preserve">Comment-level sentiment in ROI reports; Comment Analysis 25,000 / month</t>
  </si>
  <si>
    <t xml:space="preserve">Comment Analysis 10,000 / month; comment export for internal client use</t>
  </si>
  <si>
    <t xml:space="preserve">TikTok competitor intelligence (SOV, comparisons, exports)</t>
  </si>
  <si>
    <t xml:space="preserve">Not in product. Custom development quoted at $150,000</t>
  </si>
  <si>
    <t xml:space="preserve">Competitors Watch with Share-of-Voice; TikTok coverage rated Strong</t>
  </si>
  <si>
    <t xml:space="preserve">TikTok in monitoring suite; Competitor Watch; 100 Market Benchmarking PDFs / yr; CSV / PDF export</t>
  </si>
  <si>
    <t xml:space="preserve">Keyword &amp; Boolean keyword tracking (not just hashtags)</t>
  </si>
  <si>
    <t xml:space="preserve">Hashtag only. Keyword / Boolean needs R&amp;D and custom development at extra cost (not priced)</t>
  </si>
  <si>
    <t xml:space="preserve">Brand, category &amp; hashtag-level monitoring plus mentions; Boolean logic not stated</t>
  </si>
  <si>
    <t xml:space="preserve">Hashtag tracking shown; keyword / Boolean not stated</t>
  </si>
  <si>
    <t xml:space="preserve">Shares &amp; saves metrics</t>
  </si>
  <si>
    <t xml:space="preserve">Not collected (private Meta metrics). Can be entered manually in Campaigns if creators share them</t>
  </si>
  <si>
    <t xml:space="preserve">Share metrics listed; saves not stated</t>
  </si>
  <si>
    <t xml:space="preserve">Performance data for static posts (e.g. est. impressions)</t>
  </si>
  <si>
    <t xml:space="preserve">Impressions are private, so static posts show blank. Estimated Impressions planned for Q4</t>
  </si>
  <si>
    <t xml:space="preserve">Estimated reach tracked per post in ROI reports; static-post handling to confirm in demo</t>
  </si>
  <si>
    <t xml:space="preserve">End-to-end campaign management workflow</t>
  </si>
  <si>
    <t xml:space="preserve">Responded 'Done' (sorting &amp; filtering added); Campaign Management exists. Outreach / contracting not evidenced</t>
  </si>
  <si>
    <t xml:space="preserve">Media plans, bulk outreach, AI negotiation, content audit, live campaigns, ROI reports — all included</t>
  </si>
  <si>
    <t xml:space="preserve">Live Campaign Dashboard (200 / yr), DocuSeal e-sign, ROI reports; Bulk Email, WhatsApp &amp; Media Plans shown as '–'</t>
  </si>
  <si>
    <t xml:space="preserve">TikTok Spark Ads / Ads integration &amp; conversion tracking</t>
  </si>
  <si>
    <t xml:space="preserve">Conversion tracking via custom links / promo codes; Spark Ads not available (not public data)</t>
  </si>
  <si>
    <t xml:space="preserve">Not stated (UTM conversion tracking only)</t>
  </si>
  <si>
    <t xml:space="preserve">Not stated (UTM tracking only)</t>
  </si>
  <si>
    <t xml:space="preserve">Social listening &amp; competitive intelligence depth</t>
  </si>
  <si>
    <t xml:space="preserve">No commitment yet: HypeAuditor asked Dentsu to specify what's needed</t>
  </si>
  <si>
    <t xml:space="preserve">Category intelligence (needs taxonomy, trends, SOV, cultural insight); configured per client / market</t>
  </si>
  <si>
    <t xml:space="preserve">Brand, hashtag &amp; competitor tracking; plan states it is 'representative, not exhaustive' social listening</t>
  </si>
  <si>
    <t xml:space="preserve">Tally</t>
  </si>
  <si>
    <t xml:space="preserve">Rating</t>
  </si>
  <si>
    <t xml:space="preserve">Feature &amp; Included-Volume Comparison</t>
  </si>
  <si>
    <t xml:space="preserve">Viral Pitch: proposal slides 15–20, 34–35. CultureX: Enterprise UNLIMITED plan screenshots (some rows weren't visible, marked 'Not shown in screenshots'). HypeAuditor: feedback file and its responses only, so features they don't discuss read 'Not covered in feedback file'.</t>
  </si>
  <si>
    <t xml:space="preserve">Category</t>
  </si>
  <si>
    <t xml:space="preserve">Feature</t>
  </si>
  <si>
    <t xml:space="preserve">SCOPE &amp; ACCESS</t>
  </si>
  <si>
    <t xml:space="preserve">Scope &amp; access</t>
  </si>
  <si>
    <t xml:space="preserve">Markets in quote</t>
  </si>
  <si>
    <t xml:space="preserve">Current licence (base price TBC)</t>
  </si>
  <si>
    <t xml:space="preserve">Indonesia (ID + TH options still being finalised)</t>
  </si>
  <si>
    <t xml:space="preserve">Indonesia + Thailand options priced</t>
  </si>
  <si>
    <t xml:space="preserve">Platforms</t>
  </si>
  <si>
    <t xml:space="preserve">Instagram-led competitor analysis; TikTok competitor analysis = $150,000 custom build</t>
  </si>
  <si>
    <t xml:space="preserve">Instagram, YouTube, TikTok (Strong); X &amp; Threads limited</t>
  </si>
  <si>
    <t xml:space="preserve">Instagram, TikTok, YouTube</t>
  </si>
  <si>
    <t xml:space="preserve">Team logins</t>
  </si>
  <si>
    <t xml:space="preserve">Not covered in feedback file</t>
  </si>
  <si>
    <t xml:space="preserve">8 logins + 10 agency-operator dashboards</t>
  </si>
  <si>
    <t xml:space="preserve">Not shown in screenshots</t>
  </si>
  <si>
    <t xml:space="preserve">White-labelling</t>
  </si>
  <si>
    <t xml:space="preserve">Full platform white-label (Dentsu logo, fonts, colours)</t>
  </si>
  <si>
    <t xml:space="preserve">White-labelled shareable links (client-facing only)</t>
  </si>
  <si>
    <t xml:space="preserve">CREATOR DISCOVERY</t>
  </si>
  <si>
    <t xml:space="preserve">Creator discovery</t>
  </si>
  <si>
    <t xml:space="preserve">Creator search</t>
  </si>
  <si>
    <t xml:space="preserve">Unlimited global search (IG / YT / TT) + unlimited basic data</t>
  </si>
  <si>
    <t xml:space="preserve">Unlimited discovery lists</t>
  </si>
  <si>
    <t xml:space="preserve">Advanced creator profiles</t>
  </si>
  <si>
    <t xml:space="preserve">15,000 / year</t>
  </si>
  <si>
    <t xml:space="preserve">Fraud / fake-follower detection</t>
  </si>
  <si>
    <t xml:space="preserve">Authenticity signal live; deeper AI fraud scoring in pilot</t>
  </si>
  <si>
    <t xml:space="preserve">Included (credibility score, indicative only)</t>
  </si>
  <si>
    <t xml:space="preserve">Brand-suitability scoring</t>
  </si>
  <si>
    <t xml:space="preserve">Not available yet (build-vs-partner decision)</t>
  </si>
  <si>
    <t xml:space="preserve">CAMPAIGN &amp; OUTREACH</t>
  </si>
  <si>
    <t xml:space="preserve">Campaign &amp; outreach</t>
  </si>
  <si>
    <t xml:space="preserve">Media plans</t>
  </si>
  <si>
    <t xml:space="preserve">No end-to-end workflow</t>
  </si>
  <si>
    <t xml:space="preserve">–</t>
  </si>
  <si>
    <t xml:space="preserve">Bulk email outreach</t>
  </si>
  <si>
    <t xml:space="preserve">Unlimited, sent from Dentsu's own domain</t>
  </si>
  <si>
    <t xml:space="preserve">WhatsApp</t>
  </si>
  <si>
    <t xml:space="preserve">AI negotiation via WhatsApp &amp; email (beta)</t>
  </si>
  <si>
    <t xml:space="preserve">– (WhatsApp API charges excluded, passed through at cost)</t>
  </si>
  <si>
    <t xml:space="preserve">Live campaigns</t>
  </si>
  <si>
    <t xml:space="preserve">Campaign Management with CPE / CPM / ROI once budget is entered</t>
  </si>
  <si>
    <t xml:space="preserve">200 campaigns / year</t>
  </si>
  <si>
    <t xml:space="preserve">E-sign contracts</t>
  </si>
  <si>
    <t xml:space="preserve">DocuSeal included</t>
  </si>
  <si>
    <t xml:space="preserve">AI automation</t>
  </si>
  <si>
    <t xml:space="preserve">5 AI modules: discovery, scripting, negotiation, content audit, performance (all beta)</t>
  </si>
  <si>
    <t xml:space="preserve">REPORTING</t>
  </si>
  <si>
    <t xml:space="preserve">Reporting</t>
  </si>
  <si>
    <t xml:space="preserve">ROI reports</t>
  </si>
  <si>
    <t xml:space="preserve">ROI in Campaign Management; static posts blank until Est. Impressions (Q4); shares / saves manual only</t>
  </si>
  <si>
    <t xml:space="preserve">200 / year (up to 100 links each = 20,000 links)</t>
  </si>
  <si>
    <t xml:space="preserve">UTM tracking</t>
  </si>
  <si>
    <t xml:space="preserve">Custom link tracking &amp; promo codes</t>
  </si>
  <si>
    <t xml:space="preserve">Export &amp; integration</t>
  </si>
  <si>
    <t xml:space="preserve">PowerPoint export manual on request; API / BI integration with limitations</t>
  </si>
  <si>
    <t xml:space="preserve">CSV / PDF export; no bulk API / scripted export</t>
  </si>
  <si>
    <t xml:space="preserve">Dashboards</t>
  </si>
  <si>
    <t xml:space="preserve">Real-time auto-generated dashboard</t>
  </si>
  <si>
    <t xml:space="preserve">Master dashboard + grouping reports</t>
  </si>
  <si>
    <t xml:space="preserve">CRM &amp; MIGRATION</t>
  </si>
  <si>
    <t xml:space="preserve">CRM &amp; migration</t>
  </si>
  <si>
    <t xml:space="preserve">Influencer CRM</t>
  </si>
  <si>
    <t xml:space="preserve">Unlimited (CSV / Excel migration)</t>
  </si>
  <si>
    <t xml:space="preserve">Up to 10,000 creators</t>
  </si>
  <si>
    <t xml:space="preserve">Migration support</t>
  </si>
  <si>
    <t xml:space="preserve">Included, up to 24 months of history</t>
  </si>
  <si>
    <t xml:space="preserve">One-time at onboarding</t>
  </si>
  <si>
    <t xml:space="preserve">MONITORING &amp; LISTENING</t>
  </si>
  <si>
    <t xml:space="preserve">Monitoring &amp; listening</t>
  </si>
  <si>
    <t xml:space="preserve">Brand / profile monitoring</t>
  </si>
  <si>
    <t xml:space="preserve">Profile monitoring: Unlimited</t>
  </si>
  <si>
    <t xml:space="preserve">Unlimited (500 active at once; 200 swaps / month)</t>
  </si>
  <si>
    <t xml:space="preserve">Hashtag tracking</t>
  </si>
  <si>
    <t xml:space="preserve">Hashtags only, no keyword / Boolean</t>
  </si>
  <si>
    <t xml:space="preserve">Unlimited (100 active at once; ≥50 posts / day / platform, best-effort)</t>
  </si>
  <si>
    <t xml:space="preserve">Post analysis</t>
  </si>
  <si>
    <t xml:space="preserve">10,000 / month</t>
  </si>
  <si>
    <t xml:space="preserve">3,000 / month (pooled)</t>
  </si>
  <si>
    <t xml:space="preserve">Comment analysis</t>
  </si>
  <si>
    <t xml:space="preserve">Sentiment score only; comment-level view declined</t>
  </si>
  <si>
    <t xml:space="preserve">25,000 / month</t>
  </si>
  <si>
    <t xml:space="preserve">10,000 / month (pooled)</t>
  </si>
  <si>
    <t xml:space="preserve">Collaboration analysis</t>
  </si>
  <si>
    <t xml:space="preserve">2,000 posts / month</t>
  </si>
  <si>
    <t xml:space="preserve">Competitor watch</t>
  </si>
  <si>
    <t xml:space="preserve">5 brands max, Instagram-led; more brands = custom dev</t>
  </si>
  <si>
    <t xml:space="preserve">Unlimited, with Share-of-Voice</t>
  </si>
  <si>
    <t xml:space="preserve">100 watches / year</t>
  </si>
  <si>
    <t xml:space="preserve">Benchmark / category reports</t>
  </si>
  <si>
    <t xml:space="preserve">Category intelligence reports</t>
  </si>
  <si>
    <t xml:space="preserve">100 Market Benchmarking PDFs / year</t>
  </si>
  <si>
    <t xml:space="preserve">SUPPORT</t>
  </si>
  <si>
    <t xml:space="preserve">Support</t>
  </si>
  <si>
    <t xml:space="preserve">Account management</t>
  </si>
  <si>
    <t xml:space="preserve">Indonesia-based team (30 people); relationship-manager model TBC</t>
  </si>
  <si>
    <t xml:space="preserve">Single named CSM for ID + TH</t>
  </si>
  <si>
    <t xml:space="preserve">Support hours</t>
  </si>
  <si>
    <t xml:space="preserve">TBC</t>
  </si>
  <si>
    <t xml:space="preserve">Mon–Fri 9AM–6PM IST (stated as 'aligned to WIB' — to clarify)</t>
  </si>
  <si>
    <t xml:space="preserve">Onboarding &amp; training</t>
  </si>
  <si>
    <t xml:space="preserve">Unlimited, delivered locally</t>
  </si>
  <si>
    <t xml:space="preserve">Custom (minimum 2 sessions)</t>
  </si>
  <si>
    <t xml:space="preserve">SLA</t>
  </si>
  <si>
    <t xml:space="preserve">Agreed SLAs (not quantified)</t>
  </si>
  <si>
    <t xml:space="preserve">99% uptime, best-effort; P1 response 4 hrs</t>
  </si>
  <si>
    <t xml:space="preserve">Usage policy</t>
  </si>
  <si>
    <t xml:space="preserve">Fair-usage policy on all 'Unlimited' items</t>
  </si>
  <si>
    <t xml:space="preserve">Quarterly usage review; can propose plan amendment on 60 days' notice</t>
  </si>
  <si>
    <t xml:space="preserve">Known Gaps, Caveats &amp; Risks</t>
  </si>
  <si>
    <t xml:space="preserve">Taken from each vendor's own caveats (Viral Pitch slide 35, CultureX guardrails) and Dentsu's HypeAuditor feedback.</t>
  </si>
  <si>
    <t xml:space="preserve">Base licence price not in source files (TBC)</t>
  </si>
  <si>
    <t xml:space="preserve">Only 1 of 6 RFP pricing options confirmed (12-month Indonesia); 5 in progress</t>
  </si>
  <si>
    <t xml:space="preserve">Highest price on the like-for-like option ($54,000 vs $35,988 for 12-month Indonesia)</t>
  </si>
  <si>
    <t xml:space="preserve">TikTok competitor analysis only as custom development: $150,000</t>
  </si>
  <si>
    <t xml:space="preserve">X and Threads discovery limited today</t>
  </si>
  <si>
    <t xml:space="preserve">Hard caps: 200 campaigns, 200 ROI reports, 100 competitor watches per year</t>
  </si>
  <si>
    <t xml:space="preserve">15–20 brand comparison and keyword / Boolean tracking need custom development (unpriced)</t>
  </si>
  <si>
    <t xml:space="preserve">Brand-suitability scoring not yet available</t>
  </si>
  <si>
    <t xml:space="preserve">Bulk email, WhatsApp and Media Plans shown as '–'</t>
  </si>
  <si>
    <t xml:space="preserve">Declined to expose comment-level sentiment</t>
  </si>
  <si>
    <t xml:space="preserve">AI modules, deeper fraud scoring and engagement-quality scoring are beta / in development</t>
  </si>
  <si>
    <t xml:space="preserve">Quarterly usage review lets CultureX propose a plan amendment</t>
  </si>
  <si>
    <t xml:space="preserve">Shares / saves manual only; Estimated Impressions for static posts not until Q4</t>
  </si>
  <si>
    <t xml:space="preserve">No native PowerPoint export (manual on request)</t>
  </si>
  <si>
    <t xml:space="preserve">Listening is 'representative, not exhaustive'; SLA is best-effort</t>
  </si>
  <si>
    <t xml:space="preserve">History beyond 2 years costs $36,000 per extra year; no commitment yet on social-listening depth</t>
  </si>
  <si>
    <t xml:space="preserve">Listening configured per client / market, not always-on</t>
  </si>
  <si>
    <t xml:space="preserve">Support hours quoted in IST (India time), not WIB</t>
  </si>
  <si>
    <t xml:space="preserve">Open questions before decision</t>
  </si>
  <si>
    <t xml:space="preserve">Question</t>
  </si>
  <si>
    <t xml:space="preserve">Base licence / renewal price; prices for 15–20 brand comparison and keyword tracking; whether the $150,000 TikTok build can be waived or absorbed; confirm Q3 / Q4 delivery</t>
  </si>
  <si>
    <t xml:space="preserve">Pricing for the remaining 5 options (6/24 months; ID + TH), payment terms, tax treatment, SLA figures and support hours</t>
  </si>
  <si>
    <t xml:space="preserve">Target dates for X / Threads, brand-suitability and fraud scoring; Boolean keyword tracking; saves metric</t>
  </si>
  <si>
    <t xml:space="preserve">Historical data depth, keyword / Boolean tracking, shares &amp; saves, static-post metrics, X / Threads coverage</t>
  </si>
  <si>
    <t xml:space="preserve">Why Bulk Email, WhatsApp and Media Plans show '–'; team-login count; support hours in WIB vs IST</t>
  </si>
  <si>
    <t xml:space="preserve">All</t>
  </si>
  <si>
    <t xml:space="preserve">Live demo on the same Indonesian brand / use case so the outputs can be compared directly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</si>
</sst>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\x"/>
    <numFmt numFmtId="167" formatCode="0.0%"/>
    <numFmt numFmtId="168" formatCode="#,##0"/>
    <numFmt numFmtId="169" formatCode="0.00\x"/>
    <numFmt numFmtId="170" formatCode="0%"/>
    <numFmt numFmtId="171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D2939"/>
      <name val="Arial"/>
      <family val="0"/>
      <charset val="1"/>
    </font>
    <font>
      <sz val="10"/>
      <color rgb="FF1D2939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sz val="10"/>
      <name val="Arial"/>
      <family val="2"/>
    </font>
    <font>
      <b val="true"/>
      <sz val="10"/>
      <color rgb="FFC9A227"/>
      <name val="Arial"/>
      <family val="0"/>
      <charset val="1"/>
    </font>
    <font>
      <sz val="10"/>
      <color rgb="FF98A2B3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4213D"/>
        <bgColor rgb="FF1D2939"/>
      </patternFill>
    </fill>
    <fill>
      <patternFill patternType="solid">
        <fgColor rgb="FF5B6770"/>
        <bgColor rgb="FF475467"/>
      </patternFill>
    </fill>
    <fill>
      <patternFill patternType="solid">
        <fgColor rgb="FF0F7B6C"/>
        <bgColor rgb="FF008080"/>
      </patternFill>
    </fill>
    <fill>
      <patternFill patternType="solid">
        <fgColor rgb="FFB5892B"/>
        <bgColor rgb="FFC9A227"/>
      </patternFill>
    </fill>
    <fill>
      <patternFill patternType="solid">
        <fgColor rgb="FFFFF4CC"/>
        <bgColor rgb="FFF5EBD3"/>
      </patternFill>
    </fill>
    <fill>
      <patternFill patternType="solid">
        <fgColor rgb="FFFFFF00"/>
        <bgColor rgb="FFFFFF00"/>
      </patternFill>
    </fill>
    <fill>
      <patternFill patternType="solid">
        <fgColor rgb="FFE4E7EB"/>
        <bgColor rgb="FFE7E9EE"/>
      </patternFill>
    </fill>
    <fill>
      <patternFill patternType="solid">
        <fgColor rgb="FFD8EFEB"/>
        <bgColor rgb="FFDDEBF7"/>
      </patternFill>
    </fill>
    <fill>
      <patternFill patternType="solid">
        <fgColor rgb="FFF5EBD3"/>
        <bgColor rgb="FFFFF4CC"/>
      </patternFill>
    </fill>
    <fill>
      <patternFill patternType="solid">
        <fgColor rgb="FFC6EFCE"/>
        <bgColor rgb="FFD8EFEB"/>
      </patternFill>
    </fill>
    <fill>
      <patternFill patternType="solid">
        <fgColor rgb="FFFFEB9C"/>
        <bgColor rgb="FFFFF4CC"/>
      </patternFill>
    </fill>
    <fill>
      <patternFill patternType="solid">
        <fgColor rgb="FFFFC7CE"/>
        <bgColor rgb="FFF5EBD3"/>
      </patternFill>
    </fill>
    <fill>
      <patternFill patternType="solid">
        <fgColor rgb="FFE7E9EE"/>
        <bgColor rgb="FFE4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475467"/>
      </font>
      <fill>
        <patternFill>
          <bgColor rgb="FFE7E9EE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F7B6C"/>
      <rgbColor rgb="FFE4E7EB"/>
      <rgbColor rgb="FFB5892B"/>
      <rgbColor rgb="FF9999FF"/>
      <rgbColor rgb="FF993366"/>
      <rgbColor rgb="FFFFF4CC"/>
      <rgbColor rgb="FFD8EFEB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E7E9EE"/>
      <rgbColor rgb="FFF5EBD3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B6770"/>
      <rgbColor rgb="FF98A2B3"/>
      <rgbColor rgb="FF14213D"/>
      <rgbColor rgb="FF339966"/>
      <rgbColor rgb="FF003300"/>
      <rgbColor rgb="FF475467"/>
      <rgbColor rgb="FF993300"/>
      <rgbColor rgb="FF993366"/>
      <rgbColor rgb="FF1F4E79"/>
      <rgbColor rgb="FF1D29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4" min="3" style="0" width="42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/>
      <c r="B4" s="4" t="s">
        <v>2</v>
      </c>
      <c r="C4" s="5" t="s">
        <v>3</v>
      </c>
      <c r="D4" s="6" t="s">
        <v>4</v>
      </c>
    </row>
    <row r="5" customFormat="false" ht="21.75" hidden="false" customHeight="true" outlineLevel="0" collapsed="false">
      <c r="A5" s="7" t="s">
        <v>5</v>
      </c>
      <c r="B5" s="8" t="s">
        <v>6</v>
      </c>
      <c r="C5" s="8" t="s">
        <v>7</v>
      </c>
      <c r="D5" s="8" t="s">
        <v>8</v>
      </c>
    </row>
    <row r="6" customFormat="false" ht="21.75" hidden="false" customHeight="true" outlineLevel="0" collapsed="false">
      <c r="A6" s="9" t="s">
        <v>9</v>
      </c>
      <c r="B6" s="10" t="n">
        <f aca="false">Pricing!J7</f>
        <v>55000</v>
      </c>
      <c r="C6" s="10" t="n">
        <f aca="false">Pricing!F7</f>
        <v>35988</v>
      </c>
      <c r="D6" s="10" t="n">
        <f aca="false">Pricing!I7</f>
        <v>54000</v>
      </c>
    </row>
    <row r="7" customFormat="false" ht="21.75" hidden="false" customHeight="true" outlineLevel="0" collapsed="false">
      <c r="A7" s="9" t="s">
        <v>10</v>
      </c>
      <c r="B7" s="10" t="n">
        <f aca="false">Pricing!D27</f>
        <v>205000</v>
      </c>
      <c r="C7" s="10" t="n">
        <f aca="false">Pricing!E27</f>
        <v>35988</v>
      </c>
      <c r="D7" s="10" t="n">
        <f aca="false">Pricing!F27</f>
        <v>54000</v>
      </c>
    </row>
    <row r="8" customFormat="false" ht="21.75" hidden="false" customHeight="true" outlineLevel="0" collapsed="false">
      <c r="A8" s="11" t="s">
        <v>11</v>
      </c>
      <c r="B8" s="12" t="n">
        <f aca="false">Pricing!D28</f>
        <v>5.69634322551962</v>
      </c>
      <c r="C8" s="12" t="n">
        <f aca="false">Pricing!E28</f>
        <v>1</v>
      </c>
      <c r="D8" s="12" t="n">
        <f aca="false">Pricing!F28</f>
        <v>1.50050016672224</v>
      </c>
    </row>
    <row r="9" customFormat="false" ht="21.75" hidden="false" customHeight="true" outlineLevel="0" collapsed="false">
      <c r="A9" s="7" t="s">
        <v>12</v>
      </c>
      <c r="B9" s="8" t="s">
        <v>13</v>
      </c>
      <c r="C9" s="8" t="s">
        <v>14</v>
      </c>
      <c r="D9" s="8" t="s">
        <v>15</v>
      </c>
    </row>
    <row r="10" customFormat="false" ht="21.75" hidden="false" customHeight="true" outlineLevel="0" collapsed="false">
      <c r="A10" s="7" t="s">
        <v>16</v>
      </c>
      <c r="B10" s="8" t="str">
        <f aca="false">'Dentsu Requirements Fit'!C20&amp;" met / "&amp;'Dentsu Requirements Fit'!C21&amp;" partial"</f>
        <v>1 met / 6 partial</v>
      </c>
      <c r="C10" s="8" t="str">
        <f aca="false">'Dentsu Requirements Fit'!E20&amp;" met / "&amp;'Dentsu Requirements Fit'!E21&amp;" partial"</f>
        <v>5 met / 6 partial</v>
      </c>
      <c r="D10" s="8" t="str">
        <f aca="false">'Dentsu Requirements Fit'!G20&amp;" met / "&amp;'Dentsu Requirements Fit'!G21&amp;" partial"</f>
        <v>3 met / 4 partial</v>
      </c>
    </row>
    <row r="11" customFormat="false" ht="21.75" hidden="false" customHeight="true" outlineLevel="0" collapsed="false">
      <c r="A11" s="7" t="s">
        <v>17</v>
      </c>
      <c r="B11" s="8" t="n">
        <f aca="false">'Limitations &amp; Enterprise Fit'!D70</f>
        <v>2</v>
      </c>
      <c r="C11" s="8" t="n">
        <f aca="false">'Limitations &amp; Enterprise Fit'!G70</f>
        <v>3</v>
      </c>
      <c r="D11" s="8" t="n">
        <f aca="false">'Limitations &amp; Enterprise Fit'!J70</f>
        <v>7</v>
      </c>
    </row>
    <row r="12" customFormat="false" ht="21.75" hidden="false" customHeight="true" outlineLevel="0" collapsed="false">
      <c r="A12" s="7" t="s">
        <v>18</v>
      </c>
      <c r="B12" s="8" t="n">
        <f aca="false">'Limitations &amp; Enterprise Fit'!D72</f>
        <v>4</v>
      </c>
      <c r="C12" s="8" t="n">
        <f aca="false">'Limitations &amp; Enterprise Fit'!G72</f>
        <v>2</v>
      </c>
      <c r="D12" s="8" t="n">
        <f aca="false">'Limitations &amp; Enterprise Fit'!J72</f>
        <v>7</v>
      </c>
    </row>
    <row r="13" customFormat="false" ht="30" hidden="false" customHeight="true" outlineLevel="0" collapsed="false">
      <c r="A13" s="7" t="s">
        <v>19</v>
      </c>
      <c r="B13" s="13" t="str">
        <f aca="false">'Limitations &amp; Enterprise Fit'!D74</f>
        <v>NOT ENOUGH for enterprise as quoted</v>
      </c>
      <c r="C13" s="13" t="str">
        <f aca="false">'Limitations &amp; Enterprise Fit'!G74</f>
        <v>Enterprise-capable with conditions</v>
      </c>
      <c r="D13" s="13" t="str">
        <f aca="false">'Limitations &amp; Enterprise Fit'!J74</f>
        <v>NOT ENOUGH for enterprise as quoted</v>
      </c>
    </row>
    <row r="14" customFormat="false" ht="61.5" hidden="false" customHeight="true" outlineLevel="0" collapsed="false">
      <c r="A14" s="7" t="s">
        <v>20</v>
      </c>
      <c r="B14" s="14" t="s">
        <v>21</v>
      </c>
      <c r="C14" s="14" t="s">
        <v>22</v>
      </c>
      <c r="D14" s="14" t="s">
        <v>23</v>
      </c>
    </row>
    <row r="15" customFormat="false" ht="61.5" hidden="false" customHeight="true" outlineLevel="0" collapsed="false">
      <c r="A15" s="7" t="s">
        <v>24</v>
      </c>
      <c r="B15" s="14" t="s">
        <v>25</v>
      </c>
      <c r="C15" s="14" t="s">
        <v>26</v>
      </c>
      <c r="D15" s="14" t="s">
        <v>27</v>
      </c>
    </row>
    <row r="17" customFormat="false" ht="15" hidden="false" customHeight="false" outlineLevel="0" collapsed="false">
      <c r="A17" s="15" t="s">
        <v>28</v>
      </c>
    </row>
    <row r="18" customFormat="false" ht="31.5" hidden="false" customHeight="true" outlineLevel="0" collapsed="false">
      <c r="A18" s="16" t="str">
        <f aca="false">"Price: on the like-for-like 12-month Indonesia option, Viral Pitch costs "&amp;TEXT(Pricing!F7,"$#,##0")&amp;", HypeAuditor "&amp;TEXT(Pricing!J7,"$#,##0")&amp;" and CultureX "&amp;TEXT(Pricing!I7,"$#,##0")&amp;". Adding HypeAuditor's $150,000 TikTok build brings its year-1 cost to "&amp;TEXT(Pricing!D27,"$#,##0")&amp;", about "&amp;TEXT(Pricing!D28,"0.0")&amp;"× Viral Pitch."</f>
        <v>Price: on the like-for-like 12-month Indonesia option, Viral Pitch costs $35,988, HypeAuditor $55,000 and CultureX $54,000. Adding HypeAuditor's $150,000 TikTok build brings its year-1 cost to $205,000, about 5.7× Viral Pitch.</v>
      </c>
      <c r="B18" s="16"/>
      <c r="C18" s="16"/>
      <c r="D18" s="16"/>
    </row>
    <row r="19" customFormat="false" ht="31.5" hidden="false" customHeight="true" outlineLevel="0" collapsed="false">
      <c r="A19" s="16" t="s">
        <v>29</v>
      </c>
      <c r="B19" s="16"/>
      <c r="C19" s="16"/>
      <c r="D19" s="16"/>
    </row>
    <row r="20" customFormat="false" ht="31.5" hidden="false" customHeight="true" outlineLevel="0" collapsed="false">
      <c r="A20" s="16" t="s">
        <v>30</v>
      </c>
      <c r="B20" s="16"/>
      <c r="C20" s="16"/>
      <c r="D20" s="16"/>
    </row>
    <row r="21" customFormat="false" ht="31.5" hidden="false" customHeight="true" outlineLevel="0" collapsed="false">
      <c r="A21" s="16" t="s">
        <v>31</v>
      </c>
      <c r="B21" s="16"/>
      <c r="C21" s="16"/>
      <c r="D21" s="16"/>
    </row>
    <row r="22" customFormat="false" ht="31.5" hidden="false" customHeight="true" outlineLevel="0" collapsed="false">
      <c r="A22" s="16" t="s">
        <v>32</v>
      </c>
      <c r="B22" s="16"/>
      <c r="C22" s="16"/>
      <c r="D22" s="16"/>
    </row>
    <row r="24" customFormat="false" ht="15" hidden="false" customHeight="false" outlineLevel="0" collapsed="false">
      <c r="A24" s="17" t="s">
        <v>33</v>
      </c>
    </row>
    <row r="25" customFormat="false" ht="15" hidden="false" customHeight="false" outlineLevel="0" collapsed="false">
      <c r="A25" s="18" t="s">
        <v>34</v>
      </c>
      <c r="B25" s="18"/>
      <c r="C25" s="18"/>
      <c r="D25" s="18"/>
    </row>
    <row r="26" customFormat="false" ht="15" hidden="false" customHeight="false" outlineLevel="0" collapsed="false">
      <c r="A26" s="18" t="s">
        <v>35</v>
      </c>
      <c r="B26" s="18"/>
      <c r="C26" s="18"/>
      <c r="D26" s="18"/>
    </row>
    <row r="27" customFormat="false" ht="15" hidden="false" customHeight="false" outlineLevel="0" collapsed="false">
      <c r="A27" s="18" t="s">
        <v>36</v>
      </c>
      <c r="B27" s="18"/>
      <c r="C27" s="18"/>
      <c r="D27" s="18"/>
    </row>
  </sheetData>
  <mergeCells count="10">
    <mergeCell ref="A1:D1"/>
    <mergeCell ref="A2:D2"/>
    <mergeCell ref="A18:D18"/>
    <mergeCell ref="A19:D19"/>
    <mergeCell ref="A20:D20"/>
    <mergeCell ref="A21:D21"/>
    <mergeCell ref="A22:D22"/>
    <mergeCell ref="A25:D25"/>
    <mergeCell ref="A26:D26"/>
    <mergeCell ref="A27:D27"/>
  </mergeCells>
  <conditionalFormatting sqref="B13:D13">
    <cfRule type="cellIs" priority="2" operator="equal" aboveAverage="0" equalAverage="0" bottom="0" percent="0" rank="0" text="" dxfId="0">
      <formula>"NOT ENOUGH for enterprise as quoted"</formula>
    </cfRule>
    <cfRule type="cellIs" priority="3" operator="equal" aboveAverage="0" equalAverage="0" bottom="0" percent="0" rank="0" text="" dxfId="1">
      <formula>"Enterprise-capable with conditions"</formula>
    </cfRule>
    <cfRule type="cellIs" priority="4" operator="equal" aboveAverage="0" equalAverage="0" bottom="0" percent="0" rank="0" text="" dxfId="2">
      <formula>"Enterprise-ready"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11" min="4" style="0" width="14"/>
    <col collapsed="false" customWidth="true" hidden="false" outlineLevel="0" max="12" min="12" style="0" width="20"/>
    <col collapsed="false" customWidth="true" hidden="false" outlineLevel="0" max="14" min="14" style="0" width="32"/>
    <col collapsed="false" customWidth="true" hidden="false" outlineLevel="0" max="15" min="15" style="0" width="44"/>
  </cols>
  <sheetData>
    <row r="1" customFormat="false" ht="31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39</v>
      </c>
      <c r="B4" s="3" t="s">
        <v>40</v>
      </c>
      <c r="C4" s="3" t="s">
        <v>41</v>
      </c>
      <c r="D4" s="5" t="s">
        <v>42</v>
      </c>
      <c r="E4" s="5" t="s">
        <v>43</v>
      </c>
      <c r="F4" s="5" t="s">
        <v>44</v>
      </c>
      <c r="G4" s="6" t="s">
        <v>45</v>
      </c>
      <c r="H4" s="6" t="s">
        <v>46</v>
      </c>
      <c r="I4" s="6" t="s">
        <v>47</v>
      </c>
      <c r="J4" s="4" t="s">
        <v>48</v>
      </c>
      <c r="K4" s="4" t="s">
        <v>49</v>
      </c>
      <c r="L4" s="3" t="s">
        <v>50</v>
      </c>
      <c r="N4" s="19" t="s">
        <v>51</v>
      </c>
      <c r="O4" s="19" t="s">
        <v>52</v>
      </c>
    </row>
    <row r="5" customFormat="false" ht="30" hidden="false" customHeight="true" outlineLevel="0" collapsed="false">
      <c r="A5" s="13" t="s">
        <v>53</v>
      </c>
      <c r="B5" s="14" t="s">
        <v>54</v>
      </c>
      <c r="C5" s="20" t="n">
        <v>6</v>
      </c>
      <c r="D5" s="10" t="s">
        <v>55</v>
      </c>
      <c r="E5" s="10" t="s">
        <v>55</v>
      </c>
      <c r="F5" s="10" t="s">
        <v>55</v>
      </c>
      <c r="G5" s="21" t="n">
        <v>33750</v>
      </c>
      <c r="H5" s="10" t="n">
        <f aca="false">G5/C5</f>
        <v>5625</v>
      </c>
      <c r="I5" s="10" t="n">
        <f aca="false">G5/C5*12</f>
        <v>67500</v>
      </c>
      <c r="J5" s="10" t="s">
        <v>56</v>
      </c>
      <c r="K5" s="10" t="str">
        <f aca="false">IF(ISNUMBER(J5),J5/C5,"Not quoted")</f>
        <v>Not quoted</v>
      </c>
      <c r="L5" s="10" t="str">
        <f aca="false">IF(AND(ISNUMBER(F5),ISNUMBER(I5)),I5-F5,"n/a")</f>
        <v>n/a</v>
      </c>
      <c r="N5" s="22" t="n">
        <v>2999</v>
      </c>
      <c r="O5" s="23" t="s">
        <v>57</v>
      </c>
    </row>
    <row r="6" customFormat="false" ht="30" hidden="false" customHeight="true" outlineLevel="0" collapsed="false">
      <c r="A6" s="13" t="s">
        <v>58</v>
      </c>
      <c r="B6" s="14" t="s">
        <v>59</v>
      </c>
      <c r="C6" s="20" t="n">
        <v>6</v>
      </c>
      <c r="D6" s="10" t="s">
        <v>55</v>
      </c>
      <c r="E6" s="10" t="s">
        <v>55</v>
      </c>
      <c r="F6" s="10" t="s">
        <v>55</v>
      </c>
      <c r="G6" s="21" t="n">
        <v>44888</v>
      </c>
      <c r="H6" s="10" t="n">
        <f aca="false">G6/C6</f>
        <v>7481.33333333333</v>
      </c>
      <c r="I6" s="10" t="n">
        <f aca="false">G6/C6*12</f>
        <v>89776</v>
      </c>
      <c r="J6" s="10" t="s">
        <v>56</v>
      </c>
      <c r="K6" s="10" t="str">
        <f aca="false">IF(ISNUMBER(J6),J6/C6,"Not quoted")</f>
        <v>Not quoted</v>
      </c>
      <c r="L6" s="10" t="str">
        <f aca="false">IF(AND(ISNUMBER(F6),ISNUMBER(I6)),I6-F6,"n/a")</f>
        <v>n/a</v>
      </c>
    </row>
    <row r="7" customFormat="false" ht="30" hidden="false" customHeight="true" outlineLevel="0" collapsed="false">
      <c r="A7" s="13" t="s">
        <v>60</v>
      </c>
      <c r="B7" s="14" t="s">
        <v>61</v>
      </c>
      <c r="C7" s="20" t="n">
        <v>12</v>
      </c>
      <c r="D7" s="10" t="n">
        <f aca="false">$N$5*C7</f>
        <v>35988</v>
      </c>
      <c r="E7" s="10" t="n">
        <f aca="false">IF(ISNUMBER(D7),D7/C7,"In progress")</f>
        <v>2999</v>
      </c>
      <c r="F7" s="10" t="n">
        <f aca="false">IF(ISNUMBER(D7),D7/C7*12,"In progress")</f>
        <v>35988</v>
      </c>
      <c r="G7" s="21" t="n">
        <v>54000</v>
      </c>
      <c r="H7" s="10" t="n">
        <f aca="false">G7/C7</f>
        <v>4500</v>
      </c>
      <c r="I7" s="10" t="n">
        <f aca="false">G7/C7*12</f>
        <v>54000</v>
      </c>
      <c r="J7" s="10" t="n">
        <f aca="false">$N$8*C7/12</f>
        <v>55000</v>
      </c>
      <c r="K7" s="10" t="n">
        <f aca="false">IF(ISNUMBER(J7),J7/C7,"Not quoted")</f>
        <v>4583.33333333333</v>
      </c>
      <c r="L7" s="24" t="n">
        <f aca="false">IF(AND(ISNUMBER(F7),ISNUMBER(I7)),I7-F7,"n/a")</f>
        <v>18012</v>
      </c>
      <c r="N7" s="19" t="s">
        <v>62</v>
      </c>
    </row>
    <row r="8" customFormat="false" ht="30" hidden="false" customHeight="true" outlineLevel="0" collapsed="false">
      <c r="A8" s="13" t="s">
        <v>63</v>
      </c>
      <c r="B8" s="14" t="s">
        <v>64</v>
      </c>
      <c r="C8" s="20" t="n">
        <v>12</v>
      </c>
      <c r="D8" s="10" t="s">
        <v>55</v>
      </c>
      <c r="E8" s="10" t="s">
        <v>55</v>
      </c>
      <c r="F8" s="10" t="s">
        <v>55</v>
      </c>
      <c r="G8" s="21" t="n">
        <v>71820</v>
      </c>
      <c r="H8" s="10" t="n">
        <f aca="false">G8/C8</f>
        <v>5985</v>
      </c>
      <c r="I8" s="10" t="n">
        <f aca="false">G8/C8*12</f>
        <v>71820</v>
      </c>
      <c r="J8" s="10" t="s">
        <v>56</v>
      </c>
      <c r="K8" s="10" t="str">
        <f aca="false">IF(ISNUMBER(J8),J8/C8,"Not quoted")</f>
        <v>Not quoted</v>
      </c>
      <c r="L8" s="10" t="str">
        <f aca="false">IF(AND(ISNUMBER(F8),ISNUMBER(I8)),I8-F8,"n/a")</f>
        <v>n/a</v>
      </c>
      <c r="N8" s="22" t="n">
        <v>55000</v>
      </c>
      <c r="O8" s="23" t="s">
        <v>65</v>
      </c>
    </row>
    <row r="9" customFormat="false" ht="30" hidden="false" customHeight="true" outlineLevel="0" collapsed="false">
      <c r="A9" s="13" t="s">
        <v>66</v>
      </c>
      <c r="B9" s="14" t="s">
        <v>67</v>
      </c>
      <c r="C9" s="20" t="n">
        <v>24</v>
      </c>
      <c r="D9" s="10" t="s">
        <v>55</v>
      </c>
      <c r="E9" s="10" t="s">
        <v>55</v>
      </c>
      <c r="F9" s="10" t="s">
        <v>55</v>
      </c>
      <c r="G9" s="21" t="n">
        <v>91800</v>
      </c>
      <c r="H9" s="10" t="n">
        <f aca="false">G9/C9</f>
        <v>3825</v>
      </c>
      <c r="I9" s="10" t="n">
        <f aca="false">G9/C9*12</f>
        <v>45900</v>
      </c>
      <c r="J9" s="10" t="s">
        <v>56</v>
      </c>
      <c r="K9" s="10" t="str">
        <f aca="false">IF(ISNUMBER(J9),J9/C9,"Not quoted")</f>
        <v>Not quoted</v>
      </c>
      <c r="L9" s="10" t="str">
        <f aca="false">IF(AND(ISNUMBER(F9),ISNUMBER(I9)),I9-F9,"n/a")</f>
        <v>n/a</v>
      </c>
    </row>
    <row r="10" customFormat="false" ht="30" hidden="false" customHeight="true" outlineLevel="0" collapsed="false">
      <c r="A10" s="13" t="s">
        <v>68</v>
      </c>
      <c r="B10" s="14" t="s">
        <v>69</v>
      </c>
      <c r="C10" s="20" t="n">
        <v>24</v>
      </c>
      <c r="D10" s="10" t="s">
        <v>55</v>
      </c>
      <c r="E10" s="10" t="s">
        <v>55</v>
      </c>
      <c r="F10" s="10" t="s">
        <v>55</v>
      </c>
      <c r="G10" s="21" t="n">
        <v>122094</v>
      </c>
      <c r="H10" s="10" t="n">
        <f aca="false">G10/C10</f>
        <v>5087.25</v>
      </c>
      <c r="I10" s="10" t="n">
        <f aca="false">G10/C10*12</f>
        <v>61047</v>
      </c>
      <c r="J10" s="10" t="s">
        <v>56</v>
      </c>
      <c r="K10" s="10" t="str">
        <f aca="false">IF(ISNUMBER(J10),J10/C10,"Not quoted")</f>
        <v>Not quoted</v>
      </c>
      <c r="L10" s="10" t="str">
        <f aca="false">IF(AND(ISNUMBER(F10),ISNUMBER(I10)),I10-F10,"n/a")</f>
        <v>n/a</v>
      </c>
    </row>
    <row r="12" customFormat="false" ht="15" hidden="false" customHeight="false" outlineLevel="0" collapsed="false">
      <c r="A12" s="25" t="s">
        <v>70</v>
      </c>
    </row>
    <row r="13" customFormat="false" ht="15" hidden="false" customHeight="false" outlineLevel="0" collapsed="false">
      <c r="A13" s="26" t="s">
        <v>71</v>
      </c>
      <c r="B13" s="26"/>
      <c r="C13" s="27" t="n">
        <f aca="false">F7</f>
        <v>35988</v>
      </c>
    </row>
    <row r="14" customFormat="false" ht="15" hidden="false" customHeight="false" outlineLevel="0" collapsed="false">
      <c r="A14" s="26" t="s">
        <v>72</v>
      </c>
      <c r="B14" s="26"/>
      <c r="C14" s="27" t="n">
        <f aca="false">I7</f>
        <v>54000</v>
      </c>
    </row>
    <row r="15" customFormat="false" ht="15" hidden="false" customHeight="false" outlineLevel="0" collapsed="false">
      <c r="A15" s="26" t="s">
        <v>73</v>
      </c>
      <c r="B15" s="26"/>
      <c r="C15" s="27" t="n">
        <f aca="false">J7</f>
        <v>55000</v>
      </c>
    </row>
    <row r="16" customFormat="false" ht="15" hidden="false" customHeight="false" outlineLevel="0" collapsed="false">
      <c r="A16" s="26" t="s">
        <v>74</v>
      </c>
      <c r="B16" s="26"/>
      <c r="C16" s="27" t="n">
        <f aca="false">I7-F7</f>
        <v>18012</v>
      </c>
    </row>
    <row r="17" customFormat="false" ht="15" hidden="false" customHeight="false" outlineLevel="0" collapsed="false">
      <c r="A17" s="26" t="s">
        <v>75</v>
      </c>
      <c r="B17" s="26"/>
      <c r="C17" s="28" t="n">
        <f aca="false">(I7-F7)/F7</f>
        <v>0.500500166722241</v>
      </c>
    </row>
    <row r="18" customFormat="false" ht="15" hidden="false" customHeight="false" outlineLevel="0" collapsed="false">
      <c r="A18" s="26" t="s">
        <v>76</v>
      </c>
      <c r="B18" s="26"/>
      <c r="C18" s="27" t="n">
        <f aca="false">J7-F7</f>
        <v>19012</v>
      </c>
    </row>
    <row r="19" customFormat="false" ht="15" hidden="false" customHeight="false" outlineLevel="0" collapsed="false">
      <c r="A19" s="26" t="s">
        <v>77</v>
      </c>
      <c r="B19" s="26"/>
      <c r="C19" s="28" t="n">
        <f aca="false">(J7-F7)/F7</f>
        <v>0.528287206846727</v>
      </c>
    </row>
    <row r="20" customFormat="false" ht="15" hidden="false" customHeight="false" outlineLevel="0" collapsed="false">
      <c r="A20" s="26" t="s">
        <v>78</v>
      </c>
      <c r="B20" s="26"/>
      <c r="C20" s="28" t="n">
        <f aca="false">(I7-F7)/I7</f>
        <v>0.333555555555556</v>
      </c>
    </row>
    <row r="22" customFormat="false" ht="15" hidden="false" customHeight="false" outlineLevel="0" collapsed="false">
      <c r="A22" s="25" t="s">
        <v>79</v>
      </c>
    </row>
    <row r="23" customFormat="false" ht="30" hidden="false" customHeight="true" outlineLevel="0" collapsed="false">
      <c r="A23" s="3" t="s">
        <v>80</v>
      </c>
      <c r="B23" s="3"/>
      <c r="C23" s="3"/>
      <c r="D23" s="4" t="s">
        <v>2</v>
      </c>
      <c r="E23" s="5" t="s">
        <v>3</v>
      </c>
      <c r="F23" s="6" t="s">
        <v>4</v>
      </c>
      <c r="G23" s="3" t="s">
        <v>81</v>
      </c>
      <c r="H23" s="3"/>
      <c r="I23" s="3"/>
      <c r="J23" s="3"/>
      <c r="K23" s="3"/>
      <c r="L23" s="3"/>
    </row>
    <row r="24" customFormat="false" ht="27.75" hidden="false" customHeight="true" outlineLevel="0" collapsed="false">
      <c r="A24" s="7" t="s">
        <v>82</v>
      </c>
      <c r="B24" s="7"/>
      <c r="C24" s="7"/>
      <c r="D24" s="10" t="n">
        <f aca="false">J7</f>
        <v>55000</v>
      </c>
      <c r="E24" s="10" t="n">
        <f aca="false">F7</f>
        <v>35988</v>
      </c>
      <c r="F24" s="10" t="n">
        <f aca="false">I7</f>
        <v>54000</v>
      </c>
      <c r="G24" s="14" t="s">
        <v>83</v>
      </c>
      <c r="H24" s="14"/>
      <c r="I24" s="14"/>
      <c r="J24" s="14"/>
      <c r="K24" s="14"/>
      <c r="L24" s="14"/>
    </row>
    <row r="25" customFormat="false" ht="27.75" hidden="false" customHeight="true" outlineLevel="0" collapsed="false">
      <c r="A25" s="7" t="s">
        <v>84</v>
      </c>
      <c r="B25" s="7"/>
      <c r="C25" s="7"/>
      <c r="D25" s="10" t="n">
        <f aca="false">D42</f>
        <v>150000</v>
      </c>
      <c r="E25" s="10" t="s">
        <v>85</v>
      </c>
      <c r="F25" s="10" t="s">
        <v>85</v>
      </c>
      <c r="G25" s="14" t="s">
        <v>86</v>
      </c>
      <c r="H25" s="14"/>
      <c r="I25" s="14"/>
      <c r="J25" s="14"/>
      <c r="K25" s="14"/>
      <c r="L25" s="14"/>
    </row>
    <row r="26" customFormat="false" ht="27.75" hidden="false" customHeight="true" outlineLevel="0" collapsed="false">
      <c r="A26" s="7" t="s">
        <v>87</v>
      </c>
      <c r="B26" s="7"/>
      <c r="C26" s="7"/>
      <c r="D26" s="10" t="s">
        <v>88</v>
      </c>
      <c r="E26" s="10" t="s">
        <v>89</v>
      </c>
      <c r="F26" s="10" t="s">
        <v>89</v>
      </c>
      <c r="G26" s="14" t="s">
        <v>90</v>
      </c>
      <c r="H26" s="14"/>
      <c r="I26" s="14"/>
      <c r="J26" s="14"/>
      <c r="K26" s="14"/>
      <c r="L26" s="14"/>
    </row>
    <row r="27" customFormat="false" ht="27.75" hidden="false" customHeight="true" outlineLevel="0" collapsed="false">
      <c r="A27" s="7" t="s">
        <v>91</v>
      </c>
      <c r="B27" s="7"/>
      <c r="C27" s="7"/>
      <c r="D27" s="29" t="n">
        <f aca="false">SUM(D24:D26)</f>
        <v>205000</v>
      </c>
      <c r="E27" s="29" t="n">
        <f aca="false">SUM(E24:E26)</f>
        <v>35988</v>
      </c>
      <c r="F27" s="29" t="n">
        <f aca="false">SUM(F24:F26)</f>
        <v>54000</v>
      </c>
      <c r="G27" s="14" t="s">
        <v>92</v>
      </c>
      <c r="H27" s="14"/>
      <c r="I27" s="14"/>
      <c r="J27" s="14"/>
      <c r="K27" s="14"/>
      <c r="L27" s="14"/>
    </row>
    <row r="28" customFormat="false" ht="27.75" hidden="false" customHeight="true" outlineLevel="0" collapsed="false">
      <c r="A28" s="7" t="s">
        <v>93</v>
      </c>
      <c r="B28" s="7"/>
      <c r="C28" s="7"/>
      <c r="D28" s="30" t="n">
        <f aca="false">D27/E27</f>
        <v>5.69634322551962</v>
      </c>
      <c r="E28" s="30" t="n">
        <f aca="false">E27/E27</f>
        <v>1</v>
      </c>
      <c r="F28" s="30" t="n">
        <f aca="false">F27/E27</f>
        <v>1.50050016672224</v>
      </c>
      <c r="G28" s="14"/>
      <c r="H28" s="14"/>
      <c r="I28" s="14"/>
      <c r="J28" s="14"/>
      <c r="K28" s="14"/>
      <c r="L28" s="14"/>
    </row>
    <row r="30" customFormat="false" ht="15" hidden="false" customHeight="false" outlineLevel="0" collapsed="false">
      <c r="A30" s="25" t="s">
        <v>94</v>
      </c>
    </row>
    <row r="31" customFormat="false" ht="30" hidden="false" customHeight="true" outlineLevel="0" collapsed="false">
      <c r="A31" s="3" t="s">
        <v>95</v>
      </c>
      <c r="B31" s="3"/>
      <c r="C31" s="3"/>
      <c r="D31" s="4" t="s">
        <v>2</v>
      </c>
      <c r="E31" s="4"/>
      <c r="F31" s="4"/>
      <c r="G31" s="5" t="s">
        <v>3</v>
      </c>
      <c r="H31" s="5"/>
      <c r="I31" s="5"/>
      <c r="J31" s="6" t="s">
        <v>4</v>
      </c>
      <c r="K31" s="6"/>
      <c r="L31" s="6"/>
    </row>
    <row r="32" customFormat="false" ht="48" hidden="false" customHeight="true" outlineLevel="0" collapsed="false">
      <c r="A32" s="7" t="s">
        <v>96</v>
      </c>
      <c r="B32" s="7"/>
      <c r="C32" s="7"/>
      <c r="D32" s="14" t="s">
        <v>97</v>
      </c>
      <c r="E32" s="14"/>
      <c r="F32" s="14"/>
      <c r="G32" s="14" t="s">
        <v>98</v>
      </c>
      <c r="H32" s="14"/>
      <c r="I32" s="14"/>
      <c r="J32" s="14" t="s">
        <v>99</v>
      </c>
      <c r="K32" s="14"/>
      <c r="L32" s="14"/>
    </row>
    <row r="33" customFormat="false" ht="48" hidden="false" customHeight="true" outlineLevel="0" collapsed="false">
      <c r="A33" s="7" t="s">
        <v>100</v>
      </c>
      <c r="B33" s="7"/>
      <c r="C33" s="7"/>
      <c r="D33" s="14" t="s">
        <v>101</v>
      </c>
      <c r="E33" s="14"/>
      <c r="F33" s="14"/>
      <c r="G33" s="14" t="s">
        <v>101</v>
      </c>
      <c r="H33" s="14"/>
      <c r="I33" s="14"/>
      <c r="J33" s="14" t="s">
        <v>102</v>
      </c>
      <c r="K33" s="14"/>
      <c r="L33" s="14"/>
    </row>
    <row r="34" customFormat="false" ht="48" hidden="false" customHeight="true" outlineLevel="0" collapsed="false">
      <c r="A34" s="7" t="s">
        <v>103</v>
      </c>
      <c r="B34" s="7"/>
      <c r="C34" s="7"/>
      <c r="D34" s="14" t="s">
        <v>101</v>
      </c>
      <c r="E34" s="14"/>
      <c r="F34" s="14"/>
      <c r="G34" s="14" t="s">
        <v>104</v>
      </c>
      <c r="H34" s="14"/>
      <c r="I34" s="14"/>
      <c r="J34" s="14" t="s">
        <v>105</v>
      </c>
      <c r="K34" s="14"/>
      <c r="L34" s="14"/>
    </row>
    <row r="35" customFormat="false" ht="48" hidden="false" customHeight="true" outlineLevel="0" collapsed="false">
      <c r="A35" s="7" t="s">
        <v>106</v>
      </c>
      <c r="B35" s="7"/>
      <c r="C35" s="7"/>
      <c r="D35" s="14" t="s">
        <v>107</v>
      </c>
      <c r="E35" s="14"/>
      <c r="F35" s="14"/>
      <c r="G35" s="14" t="s">
        <v>108</v>
      </c>
      <c r="H35" s="14"/>
      <c r="I35" s="14"/>
      <c r="J35" s="14" t="s">
        <v>109</v>
      </c>
      <c r="K35" s="14"/>
      <c r="L35" s="14"/>
    </row>
    <row r="36" customFormat="false" ht="48" hidden="false" customHeight="true" outlineLevel="0" collapsed="false">
      <c r="A36" s="7" t="s">
        <v>110</v>
      </c>
      <c r="B36" s="7"/>
      <c r="C36" s="7"/>
      <c r="D36" s="14" t="s">
        <v>111</v>
      </c>
      <c r="E36" s="14"/>
      <c r="F36" s="14"/>
      <c r="G36" s="14" t="s">
        <v>112</v>
      </c>
      <c r="H36" s="14"/>
      <c r="I36" s="14"/>
      <c r="J36" s="14" t="s">
        <v>113</v>
      </c>
      <c r="K36" s="14"/>
      <c r="L36" s="14"/>
    </row>
    <row r="37" customFormat="false" ht="48" hidden="false" customHeight="true" outlineLevel="0" collapsed="false">
      <c r="A37" s="7" t="s">
        <v>114</v>
      </c>
      <c r="B37" s="7"/>
      <c r="C37" s="7"/>
      <c r="D37" s="14" t="s">
        <v>101</v>
      </c>
      <c r="E37" s="14"/>
      <c r="F37" s="14"/>
      <c r="G37" s="14" t="s">
        <v>115</v>
      </c>
      <c r="H37" s="14"/>
      <c r="I37" s="14"/>
      <c r="J37" s="14" t="s">
        <v>116</v>
      </c>
      <c r="K37" s="14"/>
      <c r="L37" s="14"/>
    </row>
    <row r="39" customFormat="false" ht="15" hidden="false" customHeight="false" outlineLevel="0" collapsed="false">
      <c r="A39" s="31" t="s">
        <v>117</v>
      </c>
    </row>
    <row r="40" customFormat="false" ht="15" hidden="false" customHeight="false" outlineLevel="0" collapsed="false">
      <c r="A40" s="25" t="s">
        <v>118</v>
      </c>
    </row>
    <row r="41" customFormat="false" ht="30" hidden="false" customHeight="true" outlineLevel="0" collapsed="false">
      <c r="A41" s="3" t="s">
        <v>119</v>
      </c>
      <c r="B41" s="3" t="s">
        <v>120</v>
      </c>
      <c r="C41" s="3"/>
      <c r="D41" s="4" t="s">
        <v>121</v>
      </c>
      <c r="E41" s="3" t="s">
        <v>122</v>
      </c>
      <c r="F41" s="3"/>
      <c r="G41" s="3"/>
      <c r="H41" s="3" t="s">
        <v>123</v>
      </c>
      <c r="I41" s="3"/>
      <c r="J41" s="3"/>
      <c r="K41" s="3"/>
      <c r="L41" s="3"/>
    </row>
    <row r="42" customFormat="false" ht="30" hidden="false" customHeight="true" outlineLevel="0" collapsed="false">
      <c r="A42" s="8" t="s">
        <v>124</v>
      </c>
      <c r="B42" s="7" t="s">
        <v>125</v>
      </c>
      <c r="C42" s="7"/>
      <c r="D42" s="21" t="n">
        <v>150000</v>
      </c>
      <c r="E42" s="14" t="s">
        <v>126</v>
      </c>
      <c r="F42" s="14"/>
      <c r="G42" s="14"/>
      <c r="H42" s="14" t="s">
        <v>127</v>
      </c>
      <c r="I42" s="14"/>
      <c r="J42" s="14"/>
      <c r="K42" s="14"/>
      <c r="L42" s="14"/>
    </row>
    <row r="43" customFormat="false" ht="30" hidden="false" customHeight="true" outlineLevel="0" collapsed="false">
      <c r="A43" s="8" t="s">
        <v>128</v>
      </c>
      <c r="B43" s="7" t="s">
        <v>129</v>
      </c>
      <c r="C43" s="7"/>
      <c r="D43" s="21" t="n">
        <v>36000</v>
      </c>
      <c r="E43" s="14" t="s">
        <v>130</v>
      </c>
      <c r="F43" s="14"/>
      <c r="G43" s="14"/>
      <c r="H43" s="14" t="s">
        <v>131</v>
      </c>
      <c r="I43" s="14"/>
      <c r="J43" s="14"/>
      <c r="K43" s="14"/>
      <c r="L43" s="14"/>
    </row>
    <row r="44" customFormat="false" ht="30" hidden="false" customHeight="true" outlineLevel="0" collapsed="false">
      <c r="A44" s="8" t="s">
        <v>132</v>
      </c>
      <c r="B44" s="7" t="s">
        <v>133</v>
      </c>
      <c r="C44" s="7"/>
      <c r="D44" s="8" t="s">
        <v>88</v>
      </c>
      <c r="E44" s="14" t="s">
        <v>134</v>
      </c>
      <c r="F44" s="14"/>
      <c r="G44" s="14"/>
      <c r="H44" s="14" t="s">
        <v>135</v>
      </c>
      <c r="I44" s="14"/>
      <c r="J44" s="14"/>
      <c r="K44" s="14"/>
      <c r="L44" s="14"/>
    </row>
    <row r="45" customFormat="false" ht="30" hidden="false" customHeight="true" outlineLevel="0" collapsed="false">
      <c r="A45" s="8" t="s">
        <v>136</v>
      </c>
      <c r="B45" s="7" t="s">
        <v>137</v>
      </c>
      <c r="C45" s="7"/>
      <c r="D45" s="8" t="s">
        <v>88</v>
      </c>
      <c r="E45" s="14" t="s">
        <v>138</v>
      </c>
      <c r="F45" s="14"/>
      <c r="G45" s="14"/>
      <c r="H45" s="14" t="s">
        <v>139</v>
      </c>
      <c r="I45" s="14"/>
      <c r="J45" s="14"/>
      <c r="K45" s="14"/>
      <c r="L45" s="14"/>
    </row>
    <row r="46" customFormat="false" ht="30" hidden="false" customHeight="true" outlineLevel="0" collapsed="false">
      <c r="A46" s="8" t="s">
        <v>140</v>
      </c>
      <c r="B46" s="7" t="s">
        <v>141</v>
      </c>
      <c r="C46" s="7"/>
      <c r="D46" s="8" t="s">
        <v>101</v>
      </c>
      <c r="E46" s="14" t="s">
        <v>142</v>
      </c>
      <c r="F46" s="14"/>
      <c r="G46" s="14"/>
      <c r="H46" s="14" t="s">
        <v>143</v>
      </c>
      <c r="I46" s="14"/>
      <c r="J46" s="14"/>
      <c r="K46" s="14"/>
      <c r="L46" s="14"/>
    </row>
    <row r="47" customFormat="false" ht="30" hidden="false" customHeight="true" outlineLevel="0" collapsed="false">
      <c r="A47" s="8" t="s">
        <v>144</v>
      </c>
      <c r="B47" s="7" t="s">
        <v>145</v>
      </c>
      <c r="C47" s="7"/>
      <c r="D47" s="8" t="s">
        <v>101</v>
      </c>
      <c r="E47" s="14" t="s">
        <v>142</v>
      </c>
      <c r="F47" s="14"/>
      <c r="G47" s="14"/>
      <c r="H47" s="14" t="s">
        <v>146</v>
      </c>
      <c r="I47" s="14"/>
      <c r="J47" s="14"/>
      <c r="K47" s="14"/>
      <c r="L47" s="14"/>
    </row>
    <row r="48" customFormat="false" ht="15" hidden="false" customHeight="true" outlineLevel="0" collapsed="false">
      <c r="A48" s="7" t="s">
        <v>147</v>
      </c>
      <c r="B48" s="7"/>
      <c r="C48" s="7"/>
      <c r="D48" s="32" t="n">
        <f aca="false">D42+D43</f>
        <v>186000</v>
      </c>
      <c r="E48" s="14" t="s">
        <v>148</v>
      </c>
      <c r="F48" s="14"/>
      <c r="G48" s="14"/>
      <c r="H48" s="14"/>
      <c r="I48" s="14"/>
      <c r="J48" s="14"/>
      <c r="K48" s="14"/>
      <c r="L48" s="14"/>
    </row>
  </sheetData>
  <mergeCells count="73">
    <mergeCell ref="A1:L1"/>
    <mergeCell ref="A2:L2"/>
    <mergeCell ref="A13:B13"/>
    <mergeCell ref="A14:B14"/>
    <mergeCell ref="A15:B15"/>
    <mergeCell ref="A16:B16"/>
    <mergeCell ref="A17:B17"/>
    <mergeCell ref="A18:B18"/>
    <mergeCell ref="A19:B19"/>
    <mergeCell ref="A20:B20"/>
    <mergeCell ref="A23:C23"/>
    <mergeCell ref="G23:L23"/>
    <mergeCell ref="A24:C24"/>
    <mergeCell ref="G24:L24"/>
    <mergeCell ref="A25:C25"/>
    <mergeCell ref="G25:L25"/>
    <mergeCell ref="A26:C26"/>
    <mergeCell ref="G26:L26"/>
    <mergeCell ref="A27:C27"/>
    <mergeCell ref="G27:L27"/>
    <mergeCell ref="A28:C28"/>
    <mergeCell ref="G28:L28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B41:C41"/>
    <mergeCell ref="E41:G41"/>
    <mergeCell ref="H41:L41"/>
    <mergeCell ref="B42:C42"/>
    <mergeCell ref="E42:G42"/>
    <mergeCell ref="H42:L42"/>
    <mergeCell ref="B43:C43"/>
    <mergeCell ref="E43:G43"/>
    <mergeCell ref="H43:L43"/>
    <mergeCell ref="B44:C44"/>
    <mergeCell ref="E44:G44"/>
    <mergeCell ref="H44:L44"/>
    <mergeCell ref="B45:C45"/>
    <mergeCell ref="E45:G45"/>
    <mergeCell ref="H45:L45"/>
    <mergeCell ref="B46:C46"/>
    <mergeCell ref="E46:G46"/>
    <mergeCell ref="H46:L46"/>
    <mergeCell ref="B47:C47"/>
    <mergeCell ref="E47:G47"/>
    <mergeCell ref="H47:L47"/>
    <mergeCell ref="A48:C48"/>
    <mergeCell ref="E48:L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44"/>
  </cols>
  <sheetData>
    <row r="1" customFormat="false" ht="31.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25" t="s">
        <v>151</v>
      </c>
    </row>
    <row r="5" customFormat="false" ht="15" hidden="false" customHeight="false" outlineLevel="0" collapsed="false">
      <c r="A5" s="7" t="s">
        <v>152</v>
      </c>
      <c r="B5" s="33" t="n">
        <v>300</v>
      </c>
      <c r="C5" s="34" t="s">
        <v>153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customFormat="false" ht="15" hidden="false" customHeight="false" outlineLevel="0" collapsed="false">
      <c r="A6" s="7" t="s">
        <v>154</v>
      </c>
      <c r="B6" s="33" t="n">
        <v>30</v>
      </c>
      <c r="C6" s="34" t="s">
        <v>155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customFormat="false" ht="15" hidden="false" customHeight="false" outlineLevel="0" collapsed="false">
      <c r="A7" s="7" t="s">
        <v>156</v>
      </c>
      <c r="B7" s="33" t="n">
        <v>50</v>
      </c>
      <c r="C7" s="34" t="s">
        <v>157</v>
      </c>
      <c r="D7" s="34"/>
      <c r="E7" s="34"/>
      <c r="F7" s="34"/>
      <c r="G7" s="34"/>
      <c r="H7" s="34"/>
      <c r="I7" s="34"/>
      <c r="J7" s="34"/>
      <c r="K7" s="34"/>
      <c r="L7" s="34"/>
      <c r="M7" s="34"/>
    </row>
    <row r="8" customFormat="false" ht="23.85" hidden="false" customHeight="false" outlineLevel="0" collapsed="false">
      <c r="A8" s="7" t="s">
        <v>158</v>
      </c>
      <c r="B8" s="33" t="n">
        <v>100</v>
      </c>
      <c r="C8" s="34" t="s">
        <v>159</v>
      </c>
      <c r="D8" s="34"/>
      <c r="E8" s="34"/>
      <c r="F8" s="34"/>
      <c r="G8" s="34"/>
      <c r="H8" s="34"/>
      <c r="I8" s="34"/>
      <c r="J8" s="34"/>
      <c r="K8" s="34"/>
      <c r="L8" s="34"/>
      <c r="M8" s="34"/>
    </row>
    <row r="9" customFormat="false" ht="15" hidden="false" customHeight="false" outlineLevel="0" collapsed="false">
      <c r="A9" s="7" t="s">
        <v>160</v>
      </c>
      <c r="B9" s="33" t="n">
        <v>30</v>
      </c>
      <c r="C9" s="34" t="s">
        <v>155</v>
      </c>
      <c r="D9" s="34"/>
      <c r="E9" s="34"/>
      <c r="F9" s="34"/>
      <c r="G9" s="34"/>
      <c r="H9" s="34"/>
      <c r="I9" s="34"/>
      <c r="J9" s="34"/>
      <c r="K9" s="34"/>
      <c r="L9" s="34"/>
      <c r="M9" s="34"/>
    </row>
    <row r="10" customFormat="false" ht="15" hidden="false" customHeight="false" outlineLevel="0" collapsed="false">
      <c r="A10" s="7" t="s">
        <v>161</v>
      </c>
      <c r="B10" s="33" t="n">
        <v>150</v>
      </c>
      <c r="C10" s="34" t="s">
        <v>162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customFormat="false" ht="15" hidden="false" customHeight="false" outlineLevel="0" collapsed="false">
      <c r="A11" s="7" t="s">
        <v>163</v>
      </c>
      <c r="B11" s="33" t="n">
        <v>30</v>
      </c>
      <c r="C11" s="34" t="s">
        <v>164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customFormat="false" ht="23.85" hidden="false" customHeight="false" outlineLevel="0" collapsed="false">
      <c r="A12" s="7" t="s">
        <v>165</v>
      </c>
      <c r="B12" s="33" t="n">
        <v>300</v>
      </c>
      <c r="C12" s="34" t="s">
        <v>166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customFormat="false" ht="15" hidden="false" customHeight="false" outlineLevel="0" collapsed="false">
      <c r="A13" s="7" t="s">
        <v>167</v>
      </c>
      <c r="B13" s="33" t="n">
        <v>100</v>
      </c>
      <c r="C13" s="34" t="s">
        <v>168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customFormat="false" ht="15" hidden="false" customHeight="false" outlineLevel="0" collapsed="false">
      <c r="A14" s="7" t="s">
        <v>169</v>
      </c>
      <c r="B14" s="33" t="n">
        <v>4</v>
      </c>
      <c r="C14" s="34" t="s">
        <v>170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customFormat="false" ht="15" hidden="false" customHeight="false" outlineLevel="0" collapsed="false">
      <c r="A15" s="7" t="s">
        <v>171</v>
      </c>
      <c r="B15" s="33" t="n">
        <v>15</v>
      </c>
      <c r="C15" s="34" t="s">
        <v>172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customFormat="false" ht="15" hidden="false" customHeight="false" outlineLevel="0" collapsed="false">
      <c r="A16" s="7" t="s">
        <v>173</v>
      </c>
      <c r="B16" s="33" t="n">
        <v>150</v>
      </c>
      <c r="C16" s="34" t="s">
        <v>174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customFormat="false" ht="15" hidden="false" customHeight="false" outlineLevel="0" collapsed="false">
      <c r="A17" s="7" t="s">
        <v>175</v>
      </c>
      <c r="B17" s="33" t="n">
        <v>15</v>
      </c>
      <c r="C17" s="34" t="s">
        <v>176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customFormat="false" ht="15" hidden="false" customHeight="false" outlineLevel="0" collapsed="false">
      <c r="A18" s="7" t="s">
        <v>177</v>
      </c>
      <c r="B18" s="33" t="n">
        <v>15000</v>
      </c>
      <c r="C18" s="34" t="s">
        <v>178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customFormat="false" ht="15" hidden="false" customHeight="false" outlineLevel="0" collapsed="false">
      <c r="A19" s="7" t="s">
        <v>179</v>
      </c>
      <c r="B19" s="33" t="n">
        <v>24</v>
      </c>
      <c r="C19" s="34" t="s">
        <v>180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</row>
    <row r="20" customFormat="false" ht="15" hidden="false" customHeight="false" outlineLevel="0" collapsed="false">
      <c r="A20" s="7" t="s">
        <v>181</v>
      </c>
      <c r="B20" s="35" t="n">
        <v>1.25</v>
      </c>
      <c r="C20" s="34" t="s">
        <v>182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2" customFormat="false" ht="15" hidden="false" customHeight="false" outlineLevel="0" collapsed="false">
      <c r="A22" s="25" t="s">
        <v>183</v>
      </c>
    </row>
    <row r="23" customFormat="false" ht="30" hidden="false" customHeight="true" outlineLevel="0" collapsed="false">
      <c r="A23" s="3" t="s">
        <v>184</v>
      </c>
      <c r="B23" s="3" t="s">
        <v>185</v>
      </c>
      <c r="C23" s="3" t="s">
        <v>186</v>
      </c>
      <c r="D23" s="4" t="s">
        <v>187</v>
      </c>
      <c r="E23" s="4" t="s">
        <v>188</v>
      </c>
      <c r="F23" s="4" t="s">
        <v>189</v>
      </c>
      <c r="G23" s="5" t="s">
        <v>190</v>
      </c>
      <c r="H23" s="5" t="s">
        <v>191</v>
      </c>
      <c r="I23" s="5" t="s">
        <v>192</v>
      </c>
      <c r="J23" s="6" t="s">
        <v>193</v>
      </c>
      <c r="K23" s="6" t="s">
        <v>194</v>
      </c>
      <c r="L23" s="6" t="s">
        <v>195</v>
      </c>
      <c r="M23" s="3" t="s">
        <v>196</v>
      </c>
    </row>
    <row r="24" customFormat="false" ht="30" hidden="false" customHeight="true" outlineLevel="0" collapsed="false">
      <c r="A24" s="7" t="s">
        <v>197</v>
      </c>
      <c r="B24" s="36" t="n">
        <f aca="false">$B$5*$B$7+$B$8*$B$9</f>
        <v>18000</v>
      </c>
      <c r="C24" s="8" t="s">
        <v>198</v>
      </c>
      <c r="D24" s="37" t="s">
        <v>101</v>
      </c>
      <c r="E24" s="38" t="str">
        <f aca="false">IF(ISNUMBER(D24),D24/$B24,"")</f>
        <v/>
      </c>
      <c r="F24" s="13" t="str">
        <f aca="false">IF(D24="Unlimited","Enough (fair use)",IF(D24="Not offered","Not enough",IF(ISNUMBER(D24),IF(D24&gt;=$B24*IF($C24="Y",$B$20,1),"Enough",IF(D24&gt;=$B24,"Tight","Not enough")),"Unknown")))</f>
        <v>Unknown</v>
      </c>
      <c r="G24" s="39" t="n">
        <v>15000</v>
      </c>
      <c r="H24" s="38" t="n">
        <f aca="false">IF(ISNUMBER(G24),G24/$B24,"")</f>
        <v>0.833333333333333</v>
      </c>
      <c r="I24" s="13" t="str">
        <f aca="false">IF(G24="Unlimited","Enough (fair use)",IF(G24="Not offered","Not enough",IF(ISNUMBER(G24),IF(G24&gt;=$B24*IF($C24="Y",$B$20,1),"Enough",IF(G24&gt;=$B24,"Tight","Not enough")),"Unknown")))</f>
        <v>Not enough</v>
      </c>
      <c r="J24" s="37" t="s">
        <v>199</v>
      </c>
      <c r="K24" s="38" t="str">
        <f aca="false">IF(ISNUMBER(J24),J24/$B24,"")</f>
        <v/>
      </c>
      <c r="L24" s="13" t="str">
        <f aca="false">IF(J24="Unlimited","Enough (fair use)",IF(J24="Not offered","Not enough",IF(ISNUMBER(J24),IF(J24&gt;=$B24*IF($C24="Y",$B$20,1),"Enough",IF(J24&gt;=$B24,"Tight","Not enough")),"Unknown")))</f>
        <v>Unknown</v>
      </c>
      <c r="M24" s="14" t="s">
        <v>200</v>
      </c>
    </row>
    <row r="25" customFormat="false" ht="30" hidden="false" customHeight="true" outlineLevel="0" collapsed="false">
      <c r="A25" s="7" t="s">
        <v>201</v>
      </c>
      <c r="B25" s="36" t="n">
        <f aca="false">$B$5</f>
        <v>300</v>
      </c>
      <c r="C25" s="8" t="s">
        <v>198</v>
      </c>
      <c r="D25" s="37" t="s">
        <v>101</v>
      </c>
      <c r="E25" s="38" t="str">
        <f aca="false">IF(ISNUMBER(D25),D25/$B25,"")</f>
        <v/>
      </c>
      <c r="F25" s="13" t="str">
        <f aca="false">IF(D25="Unlimited","Enough (fair use)",IF(D25="Not offered","Not enough",IF(ISNUMBER(D25),IF(D25&gt;=$B25*IF($C25="Y",$B$20,1),"Enough",IF(D25&gt;=$B25,"Tight","Not enough")),"Unknown")))</f>
        <v>Unknown</v>
      </c>
      <c r="G25" s="37" t="s">
        <v>202</v>
      </c>
      <c r="H25" s="38" t="str">
        <f aca="false">IF(ISNUMBER(G25),G25/$B25,"")</f>
        <v/>
      </c>
      <c r="I25" s="13" t="str">
        <f aca="false">IF(G25="Unlimited","Enough (fair use)",IF(G25="Not offered","Not enough",IF(ISNUMBER(G25),IF(G25&gt;=$B25*IF($C25="Y",$B$20,1),"Enough",IF(G25&gt;=$B25,"Tight","Not enough")),"Unknown")))</f>
        <v>Enough (fair use)</v>
      </c>
      <c r="J25" s="39" t="n">
        <v>200</v>
      </c>
      <c r="K25" s="38" t="n">
        <f aca="false">IF(ISNUMBER(J25),J25/$B25,"")</f>
        <v>0.666666666666667</v>
      </c>
      <c r="L25" s="13" t="str">
        <f aca="false">IF(J25="Unlimited","Enough (fair use)",IF(J25="Not offered","Not enough",IF(ISNUMBER(J25),IF(J25&gt;=$B25*IF($C25="Y",$B$20,1),"Enough",IF(J25&gt;=$B25,"Tight","Not enough")),"Unknown")))</f>
        <v>Not enough</v>
      </c>
      <c r="M25" s="14" t="s">
        <v>203</v>
      </c>
    </row>
    <row r="26" customFormat="false" ht="30" hidden="false" customHeight="true" outlineLevel="0" collapsed="false">
      <c r="A26" s="7" t="s">
        <v>204</v>
      </c>
      <c r="B26" s="36" t="n">
        <f aca="false">$B$5+$B$6*12</f>
        <v>660</v>
      </c>
      <c r="C26" s="8" t="s">
        <v>198</v>
      </c>
      <c r="D26" s="37" t="s">
        <v>101</v>
      </c>
      <c r="E26" s="38" t="str">
        <f aca="false">IF(ISNUMBER(D26),D26/$B26,"")</f>
        <v/>
      </c>
      <c r="F26" s="13" t="str">
        <f aca="false">IF(D26="Unlimited","Enough (fair use)",IF(D26="Not offered","Not enough",IF(ISNUMBER(D26),IF(D26&gt;=$B26*IF($C26="Y",$B$20,1),"Enough",IF(D26&gt;=$B26,"Tight","Not enough")),"Unknown")))</f>
        <v>Unknown</v>
      </c>
      <c r="G26" s="37" t="s">
        <v>202</v>
      </c>
      <c r="H26" s="38" t="str">
        <f aca="false">IF(ISNUMBER(G26),G26/$B26,"")</f>
        <v/>
      </c>
      <c r="I26" s="13" t="str">
        <f aca="false">IF(G26="Unlimited","Enough (fair use)",IF(G26="Not offered","Not enough",IF(ISNUMBER(G26),IF(G26&gt;=$B26*IF($C26="Y",$B$20,1),"Enough",IF(G26&gt;=$B26,"Tight","Not enough")),"Unknown")))</f>
        <v>Enough (fair use)</v>
      </c>
      <c r="J26" s="39" t="n">
        <v>200</v>
      </c>
      <c r="K26" s="38" t="n">
        <f aca="false">IF(ISNUMBER(J26),J26/$B26,"")</f>
        <v>0.303030303030303</v>
      </c>
      <c r="L26" s="13" t="str">
        <f aca="false">IF(J26="Unlimited","Enough (fair use)",IF(J26="Not offered","Not enough",IF(ISNUMBER(J26),IF(J26&gt;=$B26*IF($C26="Y",$B$20,1),"Enough",IF(J26&gt;=$B26,"Tight","Not enough")),"Unknown")))</f>
        <v>Not enough</v>
      </c>
      <c r="M26" s="14" t="s">
        <v>205</v>
      </c>
    </row>
    <row r="27" customFormat="false" ht="30" hidden="false" customHeight="true" outlineLevel="0" collapsed="false">
      <c r="A27" s="7" t="s">
        <v>206</v>
      </c>
      <c r="B27" s="36" t="n">
        <f aca="false">$B$10*$B$11</f>
        <v>4500</v>
      </c>
      <c r="C27" s="8" t="s">
        <v>198</v>
      </c>
      <c r="D27" s="37" t="s">
        <v>101</v>
      </c>
      <c r="E27" s="38" t="str">
        <f aca="false">IF(ISNUMBER(D27),D27/$B27,"")</f>
        <v/>
      </c>
      <c r="F27" s="13" t="str">
        <f aca="false">IF(D27="Unlimited","Enough (fair use)",IF(D27="Not offered","Not enough",IF(ISNUMBER(D27),IF(D27&gt;=$B27*IF($C27="Y",$B$20,1),"Enough",IF(D27&gt;=$B27,"Tight","Not enough")),"Unknown")))</f>
        <v>Unknown</v>
      </c>
      <c r="G27" s="39" t="n">
        <v>10000</v>
      </c>
      <c r="H27" s="38" t="n">
        <f aca="false">IF(ISNUMBER(G27),G27/$B27,"")</f>
        <v>2.22222222222222</v>
      </c>
      <c r="I27" s="13" t="str">
        <f aca="false">IF(G27="Unlimited","Enough (fair use)",IF(G27="Not offered","Not enough",IF(ISNUMBER(G27),IF(G27&gt;=$B27*IF($C27="Y",$B$20,1),"Enough",IF(G27&gt;=$B27,"Tight","Not enough")),"Unknown")))</f>
        <v>Enough</v>
      </c>
      <c r="J27" s="39" t="n">
        <v>3000</v>
      </c>
      <c r="K27" s="38" t="n">
        <f aca="false">IF(ISNUMBER(J27),J27/$B27,"")</f>
        <v>0.666666666666667</v>
      </c>
      <c r="L27" s="13" t="str">
        <f aca="false">IF(J27="Unlimited","Enough (fair use)",IF(J27="Not offered","Not enough",IF(ISNUMBER(J27),IF(J27&gt;=$B27*IF($C27="Y",$B$20,1),"Enough",IF(J27&gt;=$B27,"Tight","Not enough")),"Unknown")))</f>
        <v>Not enough</v>
      </c>
      <c r="M27" s="14" t="s">
        <v>207</v>
      </c>
    </row>
    <row r="28" customFormat="false" ht="30" hidden="false" customHeight="true" outlineLevel="0" collapsed="false">
      <c r="A28" s="7" t="s">
        <v>208</v>
      </c>
      <c r="B28" s="36" t="n">
        <f aca="false">$B$12*$B$13</f>
        <v>30000</v>
      </c>
      <c r="C28" s="8" t="s">
        <v>198</v>
      </c>
      <c r="D28" s="37" t="s">
        <v>209</v>
      </c>
      <c r="E28" s="38" t="str">
        <f aca="false">IF(ISNUMBER(D28),D28/$B28,"")</f>
        <v/>
      </c>
      <c r="F28" s="13" t="str">
        <f aca="false">IF(D28="Unlimited","Enough (fair use)",IF(D28="Not offered","Not enough",IF(ISNUMBER(D28),IF(D28&gt;=$B28*IF($C28="Y",$B$20,1),"Enough",IF(D28&gt;=$B28,"Tight","Not enough")),"Unknown")))</f>
        <v>Not enough</v>
      </c>
      <c r="G28" s="39" t="n">
        <v>25000</v>
      </c>
      <c r="H28" s="38" t="n">
        <f aca="false">IF(ISNUMBER(G28),G28/$B28,"")</f>
        <v>0.833333333333333</v>
      </c>
      <c r="I28" s="13" t="str">
        <f aca="false">IF(G28="Unlimited","Enough (fair use)",IF(G28="Not offered","Not enough",IF(ISNUMBER(G28),IF(G28&gt;=$B28*IF($C28="Y",$B$20,1),"Enough",IF(G28&gt;=$B28,"Tight","Not enough")),"Unknown")))</f>
        <v>Not enough</v>
      </c>
      <c r="J28" s="39" t="n">
        <v>10000</v>
      </c>
      <c r="K28" s="38" t="n">
        <f aca="false">IF(ISNUMBER(J28),J28/$B28,"")</f>
        <v>0.333333333333333</v>
      </c>
      <c r="L28" s="13" t="str">
        <f aca="false">IF(J28="Unlimited","Enough (fair use)",IF(J28="Not offered","Not enough",IF(ISNUMBER(J28),IF(J28&gt;=$B28*IF($C28="Y",$B$20,1),"Enough",IF(J28&gt;=$B28,"Tight","Not enough")),"Unknown")))</f>
        <v>Not enough</v>
      </c>
      <c r="M28" s="14" t="s">
        <v>210</v>
      </c>
    </row>
    <row r="29" customFormat="false" ht="30" hidden="false" customHeight="true" outlineLevel="0" collapsed="false">
      <c r="A29" s="7" t="s">
        <v>171</v>
      </c>
      <c r="B29" s="36" t="n">
        <f aca="false">$B$15</f>
        <v>15</v>
      </c>
      <c r="C29" s="8" t="s">
        <v>211</v>
      </c>
      <c r="D29" s="39" t="n">
        <v>5</v>
      </c>
      <c r="E29" s="38" t="n">
        <f aca="false">IF(ISNUMBER(D29),D29/$B29,"")</f>
        <v>0.333333333333333</v>
      </c>
      <c r="F29" s="13" t="str">
        <f aca="false">IF(D29="Unlimited","Enough (fair use)",IF(D29="Not offered","Not enough",IF(ISNUMBER(D29),IF(D29&gt;=$B29*IF($C29="Y",$B$20,1),"Enough",IF(D29&gt;=$B29,"Tight","Not enough")),"Unknown")))</f>
        <v>Not enough</v>
      </c>
      <c r="G29" s="37" t="s">
        <v>202</v>
      </c>
      <c r="H29" s="38" t="str">
        <f aca="false">IF(ISNUMBER(G29),G29/$B29,"")</f>
        <v/>
      </c>
      <c r="I29" s="13" t="str">
        <f aca="false">IF(G29="Unlimited","Enough (fair use)",IF(G29="Not offered","Not enough",IF(ISNUMBER(G29),IF(G29&gt;=$B29*IF($C29="Y",$B$20,1),"Enough",IF(G29&gt;=$B29,"Tight","Not enough")),"Unknown")))</f>
        <v>Enough (fair use)</v>
      </c>
      <c r="J29" s="37" t="s">
        <v>101</v>
      </c>
      <c r="K29" s="38" t="str">
        <f aca="false">IF(ISNUMBER(J29),J29/$B29,"")</f>
        <v/>
      </c>
      <c r="L29" s="13" t="str">
        <f aca="false">IF(J29="Unlimited","Enough (fair use)",IF(J29="Not offered","Not enough",IF(ISNUMBER(J29),IF(J29&gt;=$B29*IF($C29="Y",$B$20,1),"Enough",IF(J29&gt;=$B29,"Tight","Not enough")),"Unknown")))</f>
        <v>Unknown</v>
      </c>
      <c r="M29" s="14" t="s">
        <v>212</v>
      </c>
    </row>
    <row r="30" customFormat="false" ht="30" hidden="false" customHeight="true" outlineLevel="0" collapsed="false">
      <c r="A30" s="7" t="s">
        <v>213</v>
      </c>
      <c r="B30" s="36" t="n">
        <f aca="false">$B$6*$B$14</f>
        <v>120</v>
      </c>
      <c r="C30" s="8" t="s">
        <v>198</v>
      </c>
      <c r="D30" s="37" t="s">
        <v>101</v>
      </c>
      <c r="E30" s="38" t="str">
        <f aca="false">IF(ISNUMBER(D30),D30/$B30,"")</f>
        <v/>
      </c>
      <c r="F30" s="13" t="str">
        <f aca="false">IF(D30="Unlimited","Enough (fair use)",IF(D30="Not offered","Not enough",IF(ISNUMBER(D30),IF(D30&gt;=$B30*IF($C30="Y",$B$20,1),"Enough",IF(D30&gt;=$B30,"Tight","Not enough")),"Unknown")))</f>
        <v>Unknown</v>
      </c>
      <c r="G30" s="37" t="s">
        <v>202</v>
      </c>
      <c r="H30" s="38" t="str">
        <f aca="false">IF(ISNUMBER(G30),G30/$B30,"")</f>
        <v/>
      </c>
      <c r="I30" s="13" t="str">
        <f aca="false">IF(G30="Unlimited","Enough (fair use)",IF(G30="Not offered","Not enough",IF(ISNUMBER(G30),IF(G30&gt;=$B30*IF($C30="Y",$B$20,1),"Enough",IF(G30&gt;=$B30,"Tight","Not enough")),"Unknown")))</f>
        <v>Enough (fair use)</v>
      </c>
      <c r="J30" s="39" t="n">
        <v>100</v>
      </c>
      <c r="K30" s="38" t="n">
        <f aca="false">IF(ISNUMBER(J30),J30/$B30,"")</f>
        <v>0.833333333333333</v>
      </c>
      <c r="L30" s="13" t="str">
        <f aca="false">IF(J30="Unlimited","Enough (fair use)",IF(J30="Not offered","Not enough",IF(ISNUMBER(J30),IF(J30&gt;=$B30*IF($C30="Y",$B$20,1),"Enough",IF(J30&gt;=$B30,"Tight","Not enough")),"Unknown")))</f>
        <v>Not enough</v>
      </c>
      <c r="M30" s="14" t="s">
        <v>214</v>
      </c>
    </row>
    <row r="31" customFormat="false" ht="30" hidden="false" customHeight="true" outlineLevel="0" collapsed="false">
      <c r="A31" s="7" t="s">
        <v>173</v>
      </c>
      <c r="B31" s="36" t="n">
        <f aca="false">$B$16</f>
        <v>150</v>
      </c>
      <c r="C31" s="8" t="s">
        <v>198</v>
      </c>
      <c r="D31" s="37" t="s">
        <v>101</v>
      </c>
      <c r="E31" s="38" t="str">
        <f aca="false">IF(ISNUMBER(D31),D31/$B31,"")</f>
        <v/>
      </c>
      <c r="F31" s="13" t="str">
        <f aca="false">IF(D31="Unlimited","Enough (fair use)",IF(D31="Not offered","Not enough",IF(ISNUMBER(D31),IF(D31&gt;=$B31*IF($C31="Y",$B$20,1),"Enough",IF(D31&gt;=$B31,"Tight","Not enough")),"Unknown")))</f>
        <v>Unknown</v>
      </c>
      <c r="G31" s="37" t="s">
        <v>202</v>
      </c>
      <c r="H31" s="38" t="str">
        <f aca="false">IF(ISNUMBER(G31),G31/$B31,"")</f>
        <v/>
      </c>
      <c r="I31" s="13" t="str">
        <f aca="false">IF(G31="Unlimited","Enough (fair use)",IF(G31="Not offered","Not enough",IF(ISNUMBER(G31),IF(G31&gt;=$B31*IF($C31="Y",$B$20,1),"Enough",IF(G31&gt;=$B31,"Tight","Not enough")),"Unknown")))</f>
        <v>Enough (fair use)</v>
      </c>
      <c r="J31" s="39" t="n">
        <v>100</v>
      </c>
      <c r="K31" s="38" t="n">
        <f aca="false">IF(ISNUMBER(J31),J31/$B31,"")</f>
        <v>0.666666666666667</v>
      </c>
      <c r="L31" s="13" t="str">
        <f aca="false">IF(J31="Unlimited","Enough (fair use)",IF(J31="Not offered","Not enough",IF(ISNUMBER(J31),IF(J31&gt;=$B31*IF($C31="Y",$B$20,1),"Enough",IF(J31&gt;=$B31,"Tight","Not enough")),"Unknown")))</f>
        <v>Not enough</v>
      </c>
      <c r="M31" s="14" t="s">
        <v>215</v>
      </c>
    </row>
    <row r="32" customFormat="false" ht="30" hidden="false" customHeight="true" outlineLevel="0" collapsed="false">
      <c r="A32" s="7" t="s">
        <v>216</v>
      </c>
      <c r="B32" s="36" t="n">
        <f aca="false">$B$10</f>
        <v>150</v>
      </c>
      <c r="C32" s="8" t="s">
        <v>198</v>
      </c>
      <c r="D32" s="37" t="s">
        <v>101</v>
      </c>
      <c r="E32" s="38" t="str">
        <f aca="false">IF(ISNUMBER(D32),D32/$B32,"")</f>
        <v/>
      </c>
      <c r="F32" s="13" t="str">
        <f aca="false">IF(D32="Unlimited","Enough (fair use)",IF(D32="Not offered","Not enough",IF(ISNUMBER(D32),IF(D32&gt;=$B32*IF($C32="Y",$B$20,1),"Enough",IF(D32&gt;=$B32,"Tight","Not enough")),"Unknown")))</f>
        <v>Unknown</v>
      </c>
      <c r="G32" s="37" t="s">
        <v>202</v>
      </c>
      <c r="H32" s="38" t="str">
        <f aca="false">IF(ISNUMBER(G32),G32/$B32,"")</f>
        <v/>
      </c>
      <c r="I32" s="13" t="str">
        <f aca="false">IF(G32="Unlimited","Enough (fair use)",IF(G32="Not offered","Not enough",IF(ISNUMBER(G32),IF(G32&gt;=$B32*IF($C32="Y",$B$20,1),"Enough",IF(G32&gt;=$B32,"Tight","Not enough")),"Unknown")))</f>
        <v>Enough (fair use)</v>
      </c>
      <c r="J32" s="39" t="n">
        <v>500</v>
      </c>
      <c r="K32" s="38" t="n">
        <f aca="false">IF(ISNUMBER(J32),J32/$B32,"")</f>
        <v>3.33333333333333</v>
      </c>
      <c r="L32" s="13" t="str">
        <f aca="false">IF(J32="Unlimited","Enough (fair use)",IF(J32="Not offered","Not enough",IF(ISNUMBER(J32),IF(J32&gt;=$B32*IF($C32="Y",$B$20,1),"Enough",IF(J32&gt;=$B32,"Tight","Not enough")),"Unknown")))</f>
        <v>Enough</v>
      </c>
      <c r="M32" s="14" t="s">
        <v>217</v>
      </c>
    </row>
    <row r="33" customFormat="false" ht="30" hidden="false" customHeight="true" outlineLevel="0" collapsed="false">
      <c r="A33" s="7" t="s">
        <v>177</v>
      </c>
      <c r="B33" s="36" t="n">
        <f aca="false">$B$18</f>
        <v>15000</v>
      </c>
      <c r="C33" s="8" t="s">
        <v>198</v>
      </c>
      <c r="D33" s="37" t="s">
        <v>101</v>
      </c>
      <c r="E33" s="38" t="str">
        <f aca="false">IF(ISNUMBER(D33),D33/$B33,"")</f>
        <v/>
      </c>
      <c r="F33" s="13" t="str">
        <f aca="false">IF(D33="Unlimited","Enough (fair use)",IF(D33="Not offered","Not enough",IF(ISNUMBER(D33),IF(D33&gt;=$B33*IF($C33="Y",$B$20,1),"Enough",IF(D33&gt;=$B33,"Tight","Not enough")),"Unknown")))</f>
        <v>Unknown</v>
      </c>
      <c r="G33" s="37" t="s">
        <v>202</v>
      </c>
      <c r="H33" s="38" t="str">
        <f aca="false">IF(ISNUMBER(G33),G33/$B33,"")</f>
        <v/>
      </c>
      <c r="I33" s="13" t="str">
        <f aca="false">IF(G33="Unlimited","Enough (fair use)",IF(G33="Not offered","Not enough",IF(ISNUMBER(G33),IF(G33&gt;=$B33*IF($C33="Y",$B$20,1),"Enough",IF(G33&gt;=$B33,"Tight","Not enough")),"Unknown")))</f>
        <v>Enough (fair use)</v>
      </c>
      <c r="J33" s="39" t="n">
        <v>10000</v>
      </c>
      <c r="K33" s="38" t="n">
        <f aca="false">IF(ISNUMBER(J33),J33/$B33,"")</f>
        <v>0.666666666666667</v>
      </c>
      <c r="L33" s="13" t="str">
        <f aca="false">IF(J33="Unlimited","Enough (fair use)",IF(J33="Not offered","Not enough",IF(ISNUMBER(J33),IF(J33&gt;=$B33*IF($C33="Y",$B$20,1),"Enough",IF(J33&gt;=$B33,"Tight","Not enough")),"Unknown")))</f>
        <v>Not enough</v>
      </c>
      <c r="M33" s="14"/>
    </row>
    <row r="34" customFormat="false" ht="30" hidden="false" customHeight="true" outlineLevel="0" collapsed="false">
      <c r="A34" s="7" t="s">
        <v>218</v>
      </c>
      <c r="B34" s="36" t="n">
        <f aca="false">$B$17</f>
        <v>15</v>
      </c>
      <c r="C34" s="8" t="s">
        <v>211</v>
      </c>
      <c r="D34" s="37" t="s">
        <v>101</v>
      </c>
      <c r="E34" s="38" t="str">
        <f aca="false">IF(ISNUMBER(D34),D34/$B34,"")</f>
        <v/>
      </c>
      <c r="F34" s="13" t="str">
        <f aca="false">IF(D34="Unlimited","Enough (fair use)",IF(D34="Not offered","Not enough",IF(ISNUMBER(D34),IF(D34&gt;=$B34*IF($C34="Y",$B$20,1),"Enough",IF(D34&gt;=$B34,"Tight","Not enough")),"Unknown")))</f>
        <v>Unknown</v>
      </c>
      <c r="G34" s="39" t="n">
        <v>8</v>
      </c>
      <c r="H34" s="38" t="n">
        <f aca="false">IF(ISNUMBER(G34),G34/$B34,"")</f>
        <v>0.533333333333333</v>
      </c>
      <c r="I34" s="13" t="str">
        <f aca="false">IF(G34="Unlimited","Enough (fair use)",IF(G34="Not offered","Not enough",IF(ISNUMBER(G34),IF(G34&gt;=$B34*IF($C34="Y",$B$20,1),"Enough",IF(G34&gt;=$B34,"Tight","Not enough")),"Unknown")))</f>
        <v>Not enough</v>
      </c>
      <c r="J34" s="37" t="s">
        <v>199</v>
      </c>
      <c r="K34" s="38" t="str">
        <f aca="false">IF(ISNUMBER(J34),J34/$B34,"")</f>
        <v/>
      </c>
      <c r="L34" s="13" t="str">
        <f aca="false">IF(J34="Unlimited","Enough (fair use)",IF(J34="Not offered","Not enough",IF(ISNUMBER(J34),IF(J34&gt;=$B34*IF($C34="Y",$B$20,1),"Enough",IF(J34&gt;=$B34,"Tight","Not enough")),"Unknown")))</f>
        <v>Unknown</v>
      </c>
      <c r="M34" s="14" t="s">
        <v>219</v>
      </c>
    </row>
    <row r="35" customFormat="false" ht="30" hidden="false" customHeight="true" outlineLevel="0" collapsed="false">
      <c r="A35" s="7" t="s">
        <v>220</v>
      </c>
      <c r="B35" s="36" t="n">
        <f aca="false">$B$19</f>
        <v>24</v>
      </c>
      <c r="C35" s="8" t="s">
        <v>211</v>
      </c>
      <c r="D35" s="39" t="n">
        <v>24</v>
      </c>
      <c r="E35" s="38" t="n">
        <f aca="false">IF(ISNUMBER(D35),D35/$B35,"")</f>
        <v>1</v>
      </c>
      <c r="F35" s="13" t="str">
        <f aca="false">IF(D35="Unlimited","Enough (fair use)",IF(D35="Not offered","Not enough",IF(ISNUMBER(D35),IF(D35&gt;=$B35*IF($C35="Y",$B$20,1),"Enough",IF(D35&gt;=$B35,"Tight","Not enough")),"Unknown")))</f>
        <v>Enough</v>
      </c>
      <c r="G35" s="39" t="n">
        <v>24</v>
      </c>
      <c r="H35" s="38" t="n">
        <f aca="false">IF(ISNUMBER(G35),G35/$B35,"")</f>
        <v>1</v>
      </c>
      <c r="I35" s="13" t="str">
        <f aca="false">IF(G35="Unlimited","Enough (fair use)",IF(G35="Not offered","Not enough",IF(ISNUMBER(G35),IF(G35&gt;=$B35*IF($C35="Y",$B$20,1),"Enough",IF(G35&gt;=$B35,"Tight","Not enough")),"Unknown")))</f>
        <v>Enough</v>
      </c>
      <c r="J35" s="37" t="s">
        <v>101</v>
      </c>
      <c r="K35" s="38" t="str">
        <f aca="false">IF(ISNUMBER(J35),J35/$B35,"")</f>
        <v/>
      </c>
      <c r="L35" s="13" t="str">
        <f aca="false">IF(J35="Unlimited","Enough (fair use)",IF(J35="Not offered","Not enough",IF(ISNUMBER(J35),IF(J35&gt;=$B35*IF($C35="Y",$B$20,1),"Enough",IF(J35&gt;=$B35,"Tight","Not enough")),"Unknown")))</f>
        <v>Unknown</v>
      </c>
      <c r="M35" s="14" t="s">
        <v>221</v>
      </c>
    </row>
    <row r="37" customFormat="false" ht="15" hidden="false" customHeight="false" outlineLevel="0" collapsed="false">
      <c r="A37" s="25" t="s">
        <v>222</v>
      </c>
    </row>
    <row r="38" customFormat="false" ht="30" hidden="false" customHeight="true" outlineLevel="0" collapsed="false">
      <c r="A38" s="3" t="s">
        <v>223</v>
      </c>
      <c r="B38" s="3" t="s">
        <v>224</v>
      </c>
      <c r="C38" s="3"/>
      <c r="D38" s="3" t="s">
        <v>225</v>
      </c>
      <c r="E38" s="3"/>
      <c r="F38" s="3"/>
      <c r="G38" s="3"/>
      <c r="H38" s="3"/>
      <c r="I38" s="3"/>
      <c r="J38" s="3" t="s">
        <v>226</v>
      </c>
      <c r="K38" s="3" t="s">
        <v>227</v>
      </c>
      <c r="L38" s="3"/>
      <c r="M38" s="3" t="s">
        <v>228</v>
      </c>
    </row>
    <row r="39" customFormat="false" ht="30" hidden="false" customHeight="true" outlineLevel="0" collapsed="false">
      <c r="A39" s="40" t="s">
        <v>2</v>
      </c>
      <c r="B39" s="7" t="s">
        <v>229</v>
      </c>
      <c r="C39" s="7"/>
      <c r="D39" s="14" t="s">
        <v>230</v>
      </c>
      <c r="E39" s="14"/>
      <c r="F39" s="14"/>
      <c r="G39" s="14"/>
      <c r="H39" s="14"/>
      <c r="I39" s="14"/>
      <c r="J39" s="13" t="s">
        <v>231</v>
      </c>
      <c r="K39" s="8" t="s">
        <v>232</v>
      </c>
      <c r="L39" s="8"/>
      <c r="M39" s="14" t="s">
        <v>233</v>
      </c>
    </row>
    <row r="40" customFormat="false" ht="30" hidden="false" customHeight="true" outlineLevel="0" collapsed="false">
      <c r="A40" s="40" t="s">
        <v>2</v>
      </c>
      <c r="B40" s="7" t="s">
        <v>234</v>
      </c>
      <c r="C40" s="7"/>
      <c r="D40" s="14" t="s">
        <v>235</v>
      </c>
      <c r="E40" s="14"/>
      <c r="F40" s="14"/>
      <c r="G40" s="14"/>
      <c r="H40" s="14"/>
      <c r="I40" s="14"/>
      <c r="J40" s="13" t="str">
        <f aca="false">IF(F29="Not enough",IF(AND(ISNUMBER(E29),E29&gt;=0.75),"Medium","High"),IF(F29="Tight","Low",IF(F29="Unknown","Check","OK")))</f>
        <v>High</v>
      </c>
      <c r="K40" s="8" t="s">
        <v>236</v>
      </c>
      <c r="L40" s="8"/>
      <c r="M40" s="14" t="s">
        <v>237</v>
      </c>
    </row>
    <row r="41" customFormat="false" ht="30" hidden="false" customHeight="true" outlineLevel="0" collapsed="false">
      <c r="A41" s="40" t="s">
        <v>2</v>
      </c>
      <c r="B41" s="7" t="s">
        <v>238</v>
      </c>
      <c r="C41" s="7"/>
      <c r="D41" s="14" t="s">
        <v>239</v>
      </c>
      <c r="E41" s="14"/>
      <c r="F41" s="14"/>
      <c r="G41" s="14"/>
      <c r="H41" s="14"/>
      <c r="I41" s="14"/>
      <c r="J41" s="13" t="s">
        <v>231</v>
      </c>
      <c r="K41" s="8" t="s">
        <v>240</v>
      </c>
      <c r="L41" s="8"/>
      <c r="M41" s="14" t="s">
        <v>241</v>
      </c>
    </row>
    <row r="42" customFormat="false" ht="30" hidden="false" customHeight="true" outlineLevel="0" collapsed="false">
      <c r="A42" s="40" t="s">
        <v>2</v>
      </c>
      <c r="B42" s="7" t="s">
        <v>242</v>
      </c>
      <c r="C42" s="7"/>
      <c r="D42" s="14" t="s">
        <v>243</v>
      </c>
      <c r="E42" s="14"/>
      <c r="F42" s="14"/>
      <c r="G42" s="14"/>
      <c r="H42" s="14"/>
      <c r="I42" s="14"/>
      <c r="J42" s="13" t="s">
        <v>231</v>
      </c>
      <c r="K42" s="8" t="s">
        <v>240</v>
      </c>
      <c r="L42" s="8"/>
      <c r="M42" s="14" t="s">
        <v>244</v>
      </c>
    </row>
    <row r="43" customFormat="false" ht="30" hidden="false" customHeight="true" outlineLevel="0" collapsed="false">
      <c r="A43" s="40" t="s">
        <v>2</v>
      </c>
      <c r="B43" s="7" t="s">
        <v>245</v>
      </c>
      <c r="C43" s="7"/>
      <c r="D43" s="14" t="s">
        <v>246</v>
      </c>
      <c r="E43" s="14"/>
      <c r="F43" s="14"/>
      <c r="G43" s="14"/>
      <c r="H43" s="14"/>
      <c r="I43" s="14"/>
      <c r="J43" s="13" t="s">
        <v>247</v>
      </c>
      <c r="K43" s="8" t="s">
        <v>240</v>
      </c>
      <c r="L43" s="8"/>
      <c r="M43" s="14" t="s">
        <v>248</v>
      </c>
    </row>
    <row r="44" customFormat="false" ht="30" hidden="false" customHeight="true" outlineLevel="0" collapsed="false">
      <c r="A44" s="40" t="s">
        <v>2</v>
      </c>
      <c r="B44" s="7" t="s">
        <v>249</v>
      </c>
      <c r="C44" s="7"/>
      <c r="D44" s="14" t="s">
        <v>250</v>
      </c>
      <c r="E44" s="14"/>
      <c r="F44" s="14"/>
      <c r="G44" s="14"/>
      <c r="H44" s="14"/>
      <c r="I44" s="14"/>
      <c r="J44" s="13" t="s">
        <v>247</v>
      </c>
      <c r="K44" s="8" t="s">
        <v>240</v>
      </c>
      <c r="L44" s="8"/>
      <c r="M44" s="14" t="s">
        <v>251</v>
      </c>
    </row>
    <row r="45" customFormat="false" ht="30" hidden="false" customHeight="true" outlineLevel="0" collapsed="false">
      <c r="A45" s="40" t="s">
        <v>2</v>
      </c>
      <c r="B45" s="7" t="s">
        <v>252</v>
      </c>
      <c r="C45" s="7"/>
      <c r="D45" s="14" t="s">
        <v>253</v>
      </c>
      <c r="E45" s="14"/>
      <c r="F45" s="14"/>
      <c r="G45" s="14"/>
      <c r="H45" s="14"/>
      <c r="I45" s="14"/>
      <c r="J45" s="13" t="s">
        <v>254</v>
      </c>
      <c r="K45" s="8" t="s">
        <v>232</v>
      </c>
      <c r="L45" s="8"/>
      <c r="M45" s="14" t="s">
        <v>255</v>
      </c>
    </row>
    <row r="46" customFormat="false" ht="30" hidden="false" customHeight="true" outlineLevel="0" collapsed="false">
      <c r="A46" s="41" t="s">
        <v>3</v>
      </c>
      <c r="B46" s="7" t="s">
        <v>256</v>
      </c>
      <c r="C46" s="7"/>
      <c r="D46" s="14" t="s">
        <v>257</v>
      </c>
      <c r="E46" s="14"/>
      <c r="F46" s="14"/>
      <c r="G46" s="14"/>
      <c r="H46" s="14"/>
      <c r="I46" s="14"/>
      <c r="J46" s="13" t="str">
        <f aca="false">IF(I24="Not enough",IF(AND(ISNUMBER(H24),H24&gt;=0.75),"Medium","High"),IF(I24="Tight","Low",IF(I24="Unknown","Check","OK")))</f>
        <v>Medium</v>
      </c>
      <c r="K46" s="8" t="s">
        <v>236</v>
      </c>
      <c r="L46" s="8"/>
      <c r="M46" s="14" t="s">
        <v>258</v>
      </c>
    </row>
    <row r="47" customFormat="false" ht="30" hidden="false" customHeight="true" outlineLevel="0" collapsed="false">
      <c r="A47" s="41" t="s">
        <v>3</v>
      </c>
      <c r="B47" s="7" t="s">
        <v>259</v>
      </c>
      <c r="C47" s="7"/>
      <c r="D47" s="14" t="s">
        <v>260</v>
      </c>
      <c r="E47" s="14"/>
      <c r="F47" s="14"/>
      <c r="G47" s="14"/>
      <c r="H47" s="14"/>
      <c r="I47" s="14"/>
      <c r="J47" s="13" t="str">
        <f aca="false">IF(I34="Not enough",IF(AND(ISNUMBER(H34),H34&gt;=0.75),"Medium","High"),IF(I34="Tight","Low",IF(I34="Unknown","Check","OK")))</f>
        <v>High</v>
      </c>
      <c r="K47" s="8" t="s">
        <v>236</v>
      </c>
      <c r="L47" s="8"/>
      <c r="M47" s="14" t="s">
        <v>261</v>
      </c>
    </row>
    <row r="48" customFormat="false" ht="30" hidden="false" customHeight="true" outlineLevel="0" collapsed="false">
      <c r="A48" s="41" t="s">
        <v>3</v>
      </c>
      <c r="B48" s="7" t="s">
        <v>262</v>
      </c>
      <c r="C48" s="7"/>
      <c r="D48" s="14" t="s">
        <v>263</v>
      </c>
      <c r="E48" s="14"/>
      <c r="F48" s="14"/>
      <c r="G48" s="14"/>
      <c r="H48" s="14"/>
      <c r="I48" s="14"/>
      <c r="J48" s="13" t="str">
        <f aca="false">IF(I28="Not enough",IF(AND(ISNUMBER(H28),H28&gt;=0.75),"Medium","High"),IF(I28="Tight","Low",IF(I28="Unknown","Check","OK")))</f>
        <v>Medium</v>
      </c>
      <c r="K48" s="8" t="s">
        <v>236</v>
      </c>
      <c r="L48" s="8"/>
      <c r="M48" s="14" t="s">
        <v>264</v>
      </c>
    </row>
    <row r="49" customFormat="false" ht="30" hidden="false" customHeight="true" outlineLevel="0" collapsed="false">
      <c r="A49" s="41" t="s">
        <v>3</v>
      </c>
      <c r="B49" s="7" t="s">
        <v>265</v>
      </c>
      <c r="C49" s="7"/>
      <c r="D49" s="14"/>
      <c r="E49" s="14"/>
      <c r="F49" s="14"/>
      <c r="G49" s="14"/>
      <c r="H49" s="14"/>
      <c r="I49" s="14"/>
      <c r="J49" s="13" t="str">
        <f aca="false">IF(I27="Not enough",IF(AND(ISNUMBER(H27),H27&gt;=0.75),"Medium","High"),IF(I27="Tight","Low",IF(I27="Unknown","Check","OK")))</f>
        <v>OK</v>
      </c>
      <c r="K49" s="8" t="s">
        <v>236</v>
      </c>
      <c r="L49" s="8"/>
      <c r="M49" s="14" t="s">
        <v>264</v>
      </c>
    </row>
    <row r="50" customFormat="false" ht="30" hidden="false" customHeight="true" outlineLevel="0" collapsed="false">
      <c r="A50" s="41" t="s">
        <v>3</v>
      </c>
      <c r="B50" s="7" t="s">
        <v>266</v>
      </c>
      <c r="C50" s="7"/>
      <c r="D50" s="14" t="s">
        <v>267</v>
      </c>
      <c r="E50" s="14"/>
      <c r="F50" s="14"/>
      <c r="G50" s="14"/>
      <c r="H50" s="14"/>
      <c r="I50" s="14"/>
      <c r="J50" s="13" t="s">
        <v>231</v>
      </c>
      <c r="K50" s="8" t="s">
        <v>268</v>
      </c>
      <c r="L50" s="8"/>
      <c r="M50" s="14" t="s">
        <v>269</v>
      </c>
    </row>
    <row r="51" customFormat="false" ht="30" hidden="false" customHeight="true" outlineLevel="0" collapsed="false">
      <c r="A51" s="41" t="s">
        <v>3</v>
      </c>
      <c r="B51" s="7" t="s">
        <v>270</v>
      </c>
      <c r="C51" s="7"/>
      <c r="D51" s="14" t="s">
        <v>271</v>
      </c>
      <c r="E51" s="14"/>
      <c r="F51" s="14"/>
      <c r="G51" s="14"/>
      <c r="H51" s="14"/>
      <c r="I51" s="14"/>
      <c r="J51" s="13" t="s">
        <v>247</v>
      </c>
      <c r="K51" s="8" t="s">
        <v>268</v>
      </c>
      <c r="L51" s="8"/>
      <c r="M51" s="14" t="s">
        <v>272</v>
      </c>
    </row>
    <row r="52" customFormat="false" ht="30" hidden="false" customHeight="true" outlineLevel="0" collapsed="false">
      <c r="A52" s="41" t="s">
        <v>3</v>
      </c>
      <c r="B52" s="7" t="s">
        <v>273</v>
      </c>
      <c r="C52" s="7"/>
      <c r="D52" s="14" t="s">
        <v>274</v>
      </c>
      <c r="E52" s="14"/>
      <c r="F52" s="14"/>
      <c r="G52" s="14"/>
      <c r="H52" s="14"/>
      <c r="I52" s="14"/>
      <c r="J52" s="13" t="s">
        <v>247</v>
      </c>
      <c r="K52" s="8" t="s">
        <v>240</v>
      </c>
      <c r="L52" s="8"/>
      <c r="M52" s="14" t="s">
        <v>275</v>
      </c>
    </row>
    <row r="53" customFormat="false" ht="30" hidden="false" customHeight="true" outlineLevel="0" collapsed="false">
      <c r="A53" s="41" t="s">
        <v>3</v>
      </c>
      <c r="B53" s="7" t="s">
        <v>276</v>
      </c>
      <c r="C53" s="7"/>
      <c r="D53" s="14" t="s">
        <v>277</v>
      </c>
      <c r="E53" s="14"/>
      <c r="F53" s="14"/>
      <c r="G53" s="14"/>
      <c r="H53" s="14"/>
      <c r="I53" s="14"/>
      <c r="J53" s="13" t="s">
        <v>247</v>
      </c>
      <c r="K53" s="8" t="s">
        <v>240</v>
      </c>
      <c r="L53" s="8"/>
      <c r="M53" s="14" t="s">
        <v>278</v>
      </c>
    </row>
    <row r="54" customFormat="false" ht="30" hidden="false" customHeight="true" outlineLevel="0" collapsed="false">
      <c r="A54" s="41" t="s">
        <v>3</v>
      </c>
      <c r="B54" s="7" t="s">
        <v>279</v>
      </c>
      <c r="C54" s="7"/>
      <c r="D54" s="14" t="s">
        <v>280</v>
      </c>
      <c r="E54" s="14"/>
      <c r="F54" s="14"/>
      <c r="G54" s="14"/>
      <c r="H54" s="14"/>
      <c r="I54" s="14"/>
      <c r="J54" s="13" t="s">
        <v>254</v>
      </c>
      <c r="K54" s="8" t="s">
        <v>240</v>
      </c>
      <c r="L54" s="8"/>
      <c r="M54" s="14" t="s">
        <v>281</v>
      </c>
    </row>
    <row r="55" customFormat="false" ht="30" hidden="false" customHeight="true" outlineLevel="0" collapsed="false">
      <c r="A55" s="42" t="s">
        <v>4</v>
      </c>
      <c r="B55" s="7" t="s">
        <v>282</v>
      </c>
      <c r="C55" s="7"/>
      <c r="D55" s="14" t="s">
        <v>283</v>
      </c>
      <c r="E55" s="14"/>
      <c r="F55" s="14"/>
      <c r="G55" s="14"/>
      <c r="H55" s="14"/>
      <c r="I55" s="14"/>
      <c r="J55" s="13" t="str">
        <f aca="false">IF(L25="Not enough",IF(AND(ISNUMBER(K25),K25&gt;=0.75),"Medium","High"),IF(L25="Tight","Low",IF(L25="Unknown","Check","OK")))</f>
        <v>High</v>
      </c>
      <c r="K55" s="8" t="s">
        <v>236</v>
      </c>
      <c r="L55" s="8"/>
      <c r="M55" s="14" t="s">
        <v>284</v>
      </c>
    </row>
    <row r="56" customFormat="false" ht="30" hidden="false" customHeight="true" outlineLevel="0" collapsed="false">
      <c r="A56" s="42" t="s">
        <v>4</v>
      </c>
      <c r="B56" s="7" t="s">
        <v>285</v>
      </c>
      <c r="C56" s="7"/>
      <c r="D56" s="14" t="s">
        <v>286</v>
      </c>
      <c r="E56" s="14"/>
      <c r="F56" s="14"/>
      <c r="G56" s="14"/>
      <c r="H56" s="14"/>
      <c r="I56" s="14"/>
      <c r="J56" s="13" t="str">
        <f aca="false">IF(L26="Not enough",IF(AND(ISNUMBER(K26),K26&gt;=0.75),"Medium","High"),IF(L26="Tight","Low",IF(L26="Unknown","Check","OK")))</f>
        <v>High</v>
      </c>
      <c r="K56" s="8" t="s">
        <v>236</v>
      </c>
      <c r="L56" s="8"/>
      <c r="M56" s="14" t="s">
        <v>284</v>
      </c>
    </row>
    <row r="57" customFormat="false" ht="30" hidden="false" customHeight="true" outlineLevel="0" collapsed="false">
      <c r="A57" s="42" t="s">
        <v>4</v>
      </c>
      <c r="B57" s="7" t="s">
        <v>287</v>
      </c>
      <c r="C57" s="7"/>
      <c r="D57" s="14" t="s">
        <v>288</v>
      </c>
      <c r="E57" s="14"/>
      <c r="F57" s="14"/>
      <c r="G57" s="14"/>
      <c r="H57" s="14"/>
      <c r="I57" s="14"/>
      <c r="J57" s="13" t="str">
        <f aca="false">IF(L27="Not enough",IF(AND(ISNUMBER(K27),K27&gt;=0.75),"Medium","High"),IF(L27="Tight","Low",IF(L27="Unknown","Check","OK")))</f>
        <v>High</v>
      </c>
      <c r="K57" s="8" t="s">
        <v>236</v>
      </c>
      <c r="L57" s="8"/>
      <c r="M57" s="14" t="s">
        <v>284</v>
      </c>
    </row>
    <row r="58" customFormat="false" ht="30" hidden="false" customHeight="true" outlineLevel="0" collapsed="false">
      <c r="A58" s="42" t="s">
        <v>4</v>
      </c>
      <c r="B58" s="7" t="s">
        <v>289</v>
      </c>
      <c r="C58" s="7"/>
      <c r="D58" s="14" t="s">
        <v>290</v>
      </c>
      <c r="E58" s="14"/>
      <c r="F58" s="14"/>
      <c r="G58" s="14"/>
      <c r="H58" s="14"/>
      <c r="I58" s="14"/>
      <c r="J58" s="13" t="str">
        <f aca="false">IF(L28="Not enough",IF(AND(ISNUMBER(K28),K28&gt;=0.75),"Medium","High"),IF(L28="Tight","Low",IF(L28="Unknown","Check","OK")))</f>
        <v>High</v>
      </c>
      <c r="K58" s="8" t="s">
        <v>236</v>
      </c>
      <c r="L58" s="8"/>
      <c r="M58" s="14" t="s">
        <v>284</v>
      </c>
    </row>
    <row r="59" customFormat="false" ht="30" hidden="false" customHeight="true" outlineLevel="0" collapsed="false">
      <c r="A59" s="42" t="s">
        <v>4</v>
      </c>
      <c r="B59" s="7" t="s">
        <v>291</v>
      </c>
      <c r="C59" s="7"/>
      <c r="D59" s="14"/>
      <c r="E59" s="14"/>
      <c r="F59" s="14"/>
      <c r="G59" s="14"/>
      <c r="H59" s="14"/>
      <c r="I59" s="14"/>
      <c r="J59" s="13" t="str">
        <f aca="false">IF(L30="Not enough",IF(AND(ISNUMBER(K30),K30&gt;=0.75),"Medium","High"),IF(L30="Tight","Low",IF(L30="Unknown","Check","OK")))</f>
        <v>Medium</v>
      </c>
      <c r="K59" s="8" t="s">
        <v>236</v>
      </c>
      <c r="L59" s="8"/>
      <c r="M59" s="14" t="s">
        <v>284</v>
      </c>
    </row>
    <row r="60" customFormat="false" ht="30" hidden="false" customHeight="true" outlineLevel="0" collapsed="false">
      <c r="A60" s="42" t="s">
        <v>4</v>
      </c>
      <c r="B60" s="7" t="s">
        <v>292</v>
      </c>
      <c r="C60" s="7"/>
      <c r="D60" s="14" t="s">
        <v>293</v>
      </c>
      <c r="E60" s="14"/>
      <c r="F60" s="14"/>
      <c r="G60" s="14"/>
      <c r="H60" s="14"/>
      <c r="I60" s="14"/>
      <c r="J60" s="13" t="str">
        <f aca="false">IF(L31="Not enough",IF(AND(ISNUMBER(K31),K31&gt;=0.75),"Medium","High"),IF(L31="Tight","Low",IF(L31="Unknown","Check","OK")))</f>
        <v>High</v>
      </c>
      <c r="K60" s="8" t="s">
        <v>236</v>
      </c>
      <c r="L60" s="8"/>
      <c r="M60" s="14" t="s">
        <v>284</v>
      </c>
    </row>
    <row r="61" customFormat="false" ht="30" hidden="false" customHeight="true" outlineLevel="0" collapsed="false">
      <c r="A61" s="42" t="s">
        <v>4</v>
      </c>
      <c r="B61" s="7" t="s">
        <v>294</v>
      </c>
      <c r="C61" s="7"/>
      <c r="D61" s="14"/>
      <c r="E61" s="14"/>
      <c r="F61" s="14"/>
      <c r="G61" s="14"/>
      <c r="H61" s="14"/>
      <c r="I61" s="14"/>
      <c r="J61" s="13" t="str">
        <f aca="false">IF(L33="Not enough",IF(AND(ISNUMBER(K33),K33&gt;=0.75),"Medium","High"),IF(L33="Tight","Low",IF(L33="Unknown","Check","OK")))</f>
        <v>High</v>
      </c>
      <c r="K61" s="8" t="s">
        <v>236</v>
      </c>
      <c r="L61" s="8"/>
      <c r="M61" s="14" t="s">
        <v>284</v>
      </c>
    </row>
    <row r="62" customFormat="false" ht="30" hidden="false" customHeight="true" outlineLevel="0" collapsed="false">
      <c r="A62" s="42" t="s">
        <v>4</v>
      </c>
      <c r="B62" s="7" t="s">
        <v>295</v>
      </c>
      <c r="C62" s="7"/>
      <c r="D62" s="14"/>
      <c r="E62" s="14"/>
      <c r="F62" s="14"/>
      <c r="G62" s="14"/>
      <c r="H62" s="14"/>
      <c r="I62" s="14"/>
      <c r="J62" s="13" t="s">
        <v>247</v>
      </c>
      <c r="K62" s="8" t="s">
        <v>236</v>
      </c>
      <c r="L62" s="8"/>
      <c r="M62" s="14" t="s">
        <v>284</v>
      </c>
    </row>
    <row r="63" customFormat="false" ht="30" hidden="false" customHeight="true" outlineLevel="0" collapsed="false">
      <c r="A63" s="42" t="s">
        <v>4</v>
      </c>
      <c r="B63" s="7" t="s">
        <v>296</v>
      </c>
      <c r="C63" s="7"/>
      <c r="D63" s="14" t="s">
        <v>297</v>
      </c>
      <c r="E63" s="14"/>
      <c r="F63" s="14"/>
      <c r="G63" s="14"/>
      <c r="H63" s="14"/>
      <c r="I63" s="14"/>
      <c r="J63" s="13" t="s">
        <v>231</v>
      </c>
      <c r="K63" s="8" t="s">
        <v>240</v>
      </c>
      <c r="L63" s="8"/>
      <c r="M63" s="14" t="s">
        <v>284</v>
      </c>
    </row>
    <row r="64" customFormat="false" ht="30" hidden="false" customHeight="true" outlineLevel="0" collapsed="false">
      <c r="A64" s="42" t="s">
        <v>4</v>
      </c>
      <c r="B64" s="7" t="s">
        <v>298</v>
      </c>
      <c r="C64" s="7"/>
      <c r="D64" s="14" t="s">
        <v>299</v>
      </c>
      <c r="E64" s="14"/>
      <c r="F64" s="14"/>
      <c r="G64" s="14"/>
      <c r="H64" s="14"/>
      <c r="I64" s="14"/>
      <c r="J64" s="13" t="s">
        <v>247</v>
      </c>
      <c r="K64" s="8" t="s">
        <v>268</v>
      </c>
      <c r="L64" s="8"/>
      <c r="M64" s="14" t="s">
        <v>284</v>
      </c>
    </row>
    <row r="65" customFormat="false" ht="30" hidden="false" customHeight="true" outlineLevel="0" collapsed="false">
      <c r="A65" s="42" t="s">
        <v>4</v>
      </c>
      <c r="B65" s="7" t="s">
        <v>300</v>
      </c>
      <c r="C65" s="7"/>
      <c r="D65" s="14" t="s">
        <v>301</v>
      </c>
      <c r="E65" s="14"/>
      <c r="F65" s="14"/>
      <c r="G65" s="14"/>
      <c r="H65" s="14"/>
      <c r="I65" s="14"/>
      <c r="J65" s="13" t="s">
        <v>247</v>
      </c>
      <c r="K65" s="8" t="s">
        <v>240</v>
      </c>
      <c r="L65" s="8"/>
      <c r="M65" s="14" t="s">
        <v>284</v>
      </c>
    </row>
    <row r="66" customFormat="false" ht="30" hidden="false" customHeight="true" outlineLevel="0" collapsed="false">
      <c r="A66" s="42" t="s">
        <v>4</v>
      </c>
      <c r="B66" s="7" t="s">
        <v>302</v>
      </c>
      <c r="C66" s="7"/>
      <c r="D66" s="14" t="s">
        <v>303</v>
      </c>
      <c r="E66" s="14"/>
      <c r="F66" s="14"/>
      <c r="G66" s="14"/>
      <c r="H66" s="14"/>
      <c r="I66" s="14"/>
      <c r="J66" s="13" t="s">
        <v>247</v>
      </c>
      <c r="K66" s="8" t="s">
        <v>268</v>
      </c>
      <c r="L66" s="8"/>
      <c r="M66" s="14" t="s">
        <v>284</v>
      </c>
    </row>
    <row r="68" customFormat="false" ht="15" hidden="false" customHeight="false" outlineLevel="0" collapsed="false">
      <c r="A68" s="25" t="s">
        <v>304</v>
      </c>
    </row>
    <row r="69" customFormat="false" ht="30" hidden="false" customHeight="true" outlineLevel="0" collapsed="false">
      <c r="A69" s="3" t="s">
        <v>305</v>
      </c>
      <c r="B69" s="3"/>
      <c r="C69" s="3"/>
      <c r="D69" s="4" t="s">
        <v>2</v>
      </c>
      <c r="E69" s="4"/>
      <c r="F69" s="4"/>
      <c r="G69" s="5" t="s">
        <v>3</v>
      </c>
      <c r="H69" s="5"/>
      <c r="I69" s="5"/>
      <c r="J69" s="6" t="s">
        <v>4</v>
      </c>
      <c r="K69" s="6"/>
      <c r="L69" s="6"/>
      <c r="M69" s="3" t="s">
        <v>306</v>
      </c>
    </row>
    <row r="70" customFormat="false" ht="15" hidden="false" customHeight="true" outlineLevel="0" collapsed="false">
      <c r="A70" s="7" t="s">
        <v>307</v>
      </c>
      <c r="B70" s="7"/>
      <c r="C70" s="7"/>
      <c r="D70" s="43" t="n">
        <f aca="false">COUNTIF($F$24:$F$35,"Not enough")</f>
        <v>2</v>
      </c>
      <c r="E70" s="43"/>
      <c r="F70" s="43"/>
      <c r="G70" s="43" t="n">
        <f aca="false">COUNTIF($I$24:$I$35,"Not enough")</f>
        <v>3</v>
      </c>
      <c r="H70" s="43"/>
      <c r="I70" s="43"/>
      <c r="J70" s="43" t="n">
        <f aca="false">COUNTIF($L$24:$L$35,"Not enough")</f>
        <v>7</v>
      </c>
      <c r="K70" s="43"/>
      <c r="L70" s="43"/>
      <c r="M70" s="14" t="s">
        <v>308</v>
      </c>
    </row>
    <row r="71" customFormat="false" ht="15" hidden="false" customHeight="true" outlineLevel="0" collapsed="false">
      <c r="A71" s="7" t="s">
        <v>309</v>
      </c>
      <c r="B71" s="7"/>
      <c r="C71" s="7"/>
      <c r="D71" s="43" t="n">
        <f aca="false">COUNTIF($F$24:$F$35,"Unknown")</f>
        <v>9</v>
      </c>
      <c r="E71" s="43"/>
      <c r="F71" s="43"/>
      <c r="G71" s="43" t="n">
        <f aca="false">COUNTIF($I$24:$I$35,"Unknown")</f>
        <v>0</v>
      </c>
      <c r="H71" s="43"/>
      <c r="I71" s="43"/>
      <c r="J71" s="43" t="n">
        <f aca="false">COUNTIF($L$24:$L$35,"Unknown")</f>
        <v>4</v>
      </c>
      <c r="K71" s="43"/>
      <c r="L71" s="43"/>
      <c r="M71" s="14" t="s">
        <v>310</v>
      </c>
    </row>
    <row r="72" customFormat="false" ht="15" hidden="false" customHeight="true" outlineLevel="0" collapsed="false">
      <c r="A72" s="7" t="s">
        <v>18</v>
      </c>
      <c r="B72" s="7"/>
      <c r="C72" s="7"/>
      <c r="D72" s="43" t="n">
        <f aca="false">COUNTIFS($A$39:$A$66,"HypeAuditor",$J$39:$J$66,"High")</f>
        <v>4</v>
      </c>
      <c r="E72" s="43"/>
      <c r="F72" s="43"/>
      <c r="G72" s="43" t="n">
        <f aca="false">COUNTIFS($A$39:$A$66,"Viral Pitch",$J$39:$J$66,"High")</f>
        <v>2</v>
      </c>
      <c r="H72" s="43"/>
      <c r="I72" s="43"/>
      <c r="J72" s="43" t="n">
        <f aca="false">COUNTIFS($A$39:$A$66,"CultureX",$J$39:$J$66,"High")</f>
        <v>7</v>
      </c>
      <c r="K72" s="43"/>
      <c r="L72" s="43"/>
      <c r="M72" s="14" t="s">
        <v>311</v>
      </c>
    </row>
    <row r="73" customFormat="false" ht="15" hidden="false" customHeight="true" outlineLevel="0" collapsed="false">
      <c r="A73" s="7" t="s">
        <v>312</v>
      </c>
      <c r="B73" s="7"/>
      <c r="C73" s="7"/>
      <c r="D73" s="43" t="n">
        <f aca="false">COUNTIFS($A$39:$A$66,"HypeAuditor",$J$39:$J$66,"Medium")</f>
        <v>2</v>
      </c>
      <c r="E73" s="43"/>
      <c r="F73" s="43"/>
      <c r="G73" s="43" t="n">
        <f aca="false">COUNTIFS($A$39:$A$66,"Viral Pitch",$J$39:$J$66,"Medium")</f>
        <v>5</v>
      </c>
      <c r="H73" s="43"/>
      <c r="I73" s="43"/>
      <c r="J73" s="43" t="n">
        <f aca="false">COUNTIFS($A$39:$A$66,"CultureX",$J$39:$J$66,"Medium")</f>
        <v>5</v>
      </c>
      <c r="K73" s="43"/>
      <c r="L73" s="43"/>
      <c r="M73" s="14" t="s">
        <v>311</v>
      </c>
    </row>
    <row r="74" customFormat="false" ht="33.75" hidden="false" customHeight="true" outlineLevel="0" collapsed="false">
      <c r="A74" s="7" t="s">
        <v>19</v>
      </c>
      <c r="B74" s="7"/>
      <c r="C74" s="7"/>
      <c r="D74" s="13" t="str">
        <f aca="false">IF(D72&gt;=3,"NOT ENOUGH for enterprise as quoted",IF(D72&gt;=1,"Enterprise-capable with conditions","Enterprise-ready"))</f>
        <v>NOT ENOUGH for enterprise as quoted</v>
      </c>
      <c r="E74" s="13"/>
      <c r="F74" s="13"/>
      <c r="G74" s="13" t="str">
        <f aca="false">IF(G72&gt;=3,"NOT ENOUGH for enterprise as quoted",IF(G72&gt;=1,"Enterprise-capable with conditions","Enterprise-ready"))</f>
        <v>Enterprise-capable with conditions</v>
      </c>
      <c r="H74" s="13"/>
      <c r="I74" s="13"/>
      <c r="J74" s="13" t="str">
        <f aca="false">IF(J72&gt;=3,"NOT ENOUGH for enterprise as quoted",IF(J72&gt;=1,"Enterprise-capable with conditions","Enterprise-ready"))</f>
        <v>NOT ENOUGH for enterprise as quoted</v>
      </c>
      <c r="K74" s="13"/>
      <c r="L74" s="13"/>
      <c r="M74" s="14" t="s">
        <v>313</v>
      </c>
    </row>
  </sheetData>
  <mergeCells count="129">
    <mergeCell ref="A1:M1"/>
    <mergeCell ref="A2:M2"/>
    <mergeCell ref="C5:M5"/>
    <mergeCell ref="C6:M6"/>
    <mergeCell ref="C7:M7"/>
    <mergeCell ref="C8:M8"/>
    <mergeCell ref="C9:M9"/>
    <mergeCell ref="C10:M10"/>
    <mergeCell ref="C11:M11"/>
    <mergeCell ref="C12:M12"/>
    <mergeCell ref="C13:M13"/>
    <mergeCell ref="C14:M14"/>
    <mergeCell ref="C15:M15"/>
    <mergeCell ref="C16:M16"/>
    <mergeCell ref="C17:M17"/>
    <mergeCell ref="C18:M18"/>
    <mergeCell ref="C19:M19"/>
    <mergeCell ref="C20:M20"/>
    <mergeCell ref="B38:C38"/>
    <mergeCell ref="D38:I38"/>
    <mergeCell ref="K38:L38"/>
    <mergeCell ref="B39:C39"/>
    <mergeCell ref="D39:I39"/>
    <mergeCell ref="K39:L39"/>
    <mergeCell ref="B40:C40"/>
    <mergeCell ref="D40:I40"/>
    <mergeCell ref="K40:L40"/>
    <mergeCell ref="B41:C41"/>
    <mergeCell ref="D41:I41"/>
    <mergeCell ref="K41:L41"/>
    <mergeCell ref="B42:C42"/>
    <mergeCell ref="D42:I42"/>
    <mergeCell ref="K42:L42"/>
    <mergeCell ref="B43:C43"/>
    <mergeCell ref="D43:I43"/>
    <mergeCell ref="K43:L43"/>
    <mergeCell ref="B44:C44"/>
    <mergeCell ref="D44:I44"/>
    <mergeCell ref="K44:L44"/>
    <mergeCell ref="B45:C45"/>
    <mergeCell ref="D45:I45"/>
    <mergeCell ref="K45:L45"/>
    <mergeCell ref="B46:C46"/>
    <mergeCell ref="D46:I46"/>
    <mergeCell ref="K46:L46"/>
    <mergeCell ref="B47:C47"/>
    <mergeCell ref="D47:I47"/>
    <mergeCell ref="K47:L47"/>
    <mergeCell ref="B48:C48"/>
    <mergeCell ref="D48:I48"/>
    <mergeCell ref="K48:L48"/>
    <mergeCell ref="B49:C49"/>
    <mergeCell ref="D49:I49"/>
    <mergeCell ref="K49:L49"/>
    <mergeCell ref="B50:C50"/>
    <mergeCell ref="D50:I50"/>
    <mergeCell ref="K50:L50"/>
    <mergeCell ref="B51:C51"/>
    <mergeCell ref="D51:I51"/>
    <mergeCell ref="K51:L51"/>
    <mergeCell ref="B52:C52"/>
    <mergeCell ref="D52:I52"/>
    <mergeCell ref="K52:L52"/>
    <mergeCell ref="B53:C53"/>
    <mergeCell ref="D53:I53"/>
    <mergeCell ref="K53:L53"/>
    <mergeCell ref="B54:C54"/>
    <mergeCell ref="D54:I54"/>
    <mergeCell ref="K54:L54"/>
    <mergeCell ref="B55:C55"/>
    <mergeCell ref="D55:I55"/>
    <mergeCell ref="K55:L55"/>
    <mergeCell ref="B56:C56"/>
    <mergeCell ref="D56:I56"/>
    <mergeCell ref="K56:L56"/>
    <mergeCell ref="B57:C57"/>
    <mergeCell ref="D57:I57"/>
    <mergeCell ref="K57:L57"/>
    <mergeCell ref="B58:C58"/>
    <mergeCell ref="D58:I58"/>
    <mergeCell ref="K58:L58"/>
    <mergeCell ref="B59:C59"/>
    <mergeCell ref="D59:I59"/>
    <mergeCell ref="K59:L59"/>
    <mergeCell ref="B60:C60"/>
    <mergeCell ref="D60:I60"/>
    <mergeCell ref="K60:L60"/>
    <mergeCell ref="B61:C61"/>
    <mergeCell ref="D61:I61"/>
    <mergeCell ref="K61:L61"/>
    <mergeCell ref="B62:C62"/>
    <mergeCell ref="D62:I62"/>
    <mergeCell ref="K62:L62"/>
    <mergeCell ref="B63:C63"/>
    <mergeCell ref="D63:I63"/>
    <mergeCell ref="K63:L63"/>
    <mergeCell ref="B64:C64"/>
    <mergeCell ref="D64:I64"/>
    <mergeCell ref="K64:L64"/>
    <mergeCell ref="B65:C65"/>
    <mergeCell ref="D65:I65"/>
    <mergeCell ref="K65:L65"/>
    <mergeCell ref="B66:C66"/>
    <mergeCell ref="D66:I66"/>
    <mergeCell ref="K66:L66"/>
    <mergeCell ref="A69:C69"/>
    <mergeCell ref="D69:F69"/>
    <mergeCell ref="G69:I69"/>
    <mergeCell ref="J69:L69"/>
    <mergeCell ref="A70:C70"/>
    <mergeCell ref="D70:F70"/>
    <mergeCell ref="G70:I70"/>
    <mergeCell ref="J70:L70"/>
    <mergeCell ref="A71:C71"/>
    <mergeCell ref="D71:F71"/>
    <mergeCell ref="G71:I71"/>
    <mergeCell ref="J71:L71"/>
    <mergeCell ref="A72:C72"/>
    <mergeCell ref="D72:F72"/>
    <mergeCell ref="G72:I72"/>
    <mergeCell ref="J72:L72"/>
    <mergeCell ref="A73:C73"/>
    <mergeCell ref="D73:F73"/>
    <mergeCell ref="G73:I73"/>
    <mergeCell ref="J73:L73"/>
    <mergeCell ref="A74:C74"/>
    <mergeCell ref="D74:F74"/>
    <mergeCell ref="G74:I74"/>
    <mergeCell ref="J74:L74"/>
  </mergeCells>
  <conditionalFormatting sqref="F24:F35">
    <cfRule type="cellIs" priority="2" operator="equal" aboveAverage="0" equalAverage="0" bottom="0" percent="0" rank="0" text="" dxfId="2">
      <formula>"Enough"</formula>
    </cfRule>
    <cfRule type="cellIs" priority="3" operator="equal" aboveAverage="0" equalAverage="0" bottom="0" percent="0" rank="0" text="" dxfId="2">
      <formula>"Enough (fair use)"</formula>
    </cfRule>
    <cfRule type="cellIs" priority="4" operator="equal" aboveAverage="0" equalAverage="0" bottom="0" percent="0" rank="0" text="" dxfId="1">
      <formula>"Tight"</formula>
    </cfRule>
    <cfRule type="cellIs" priority="5" operator="equal" aboveAverage="0" equalAverage="0" bottom="0" percent="0" rank="0" text="" dxfId="0">
      <formula>"Not enough"</formula>
    </cfRule>
    <cfRule type="cellIs" priority="6" operator="equal" aboveAverage="0" equalAverage="0" bottom="0" percent="0" rank="0" text="" dxfId="3">
      <formula>"Unknown"</formula>
    </cfRule>
  </conditionalFormatting>
  <conditionalFormatting sqref="I24:I35">
    <cfRule type="cellIs" priority="7" operator="equal" aboveAverage="0" equalAverage="0" bottom="0" percent="0" rank="0" text="" dxfId="2">
      <formula>"Enough"</formula>
    </cfRule>
    <cfRule type="cellIs" priority="8" operator="equal" aboveAverage="0" equalAverage="0" bottom="0" percent="0" rank="0" text="" dxfId="2">
      <formula>"Enough (fair use)"</formula>
    </cfRule>
    <cfRule type="cellIs" priority="9" operator="equal" aboveAverage="0" equalAverage="0" bottom="0" percent="0" rank="0" text="" dxfId="1">
      <formula>"Tight"</formula>
    </cfRule>
    <cfRule type="cellIs" priority="10" operator="equal" aboveAverage="0" equalAverage="0" bottom="0" percent="0" rank="0" text="" dxfId="0">
      <formula>"Not enough"</formula>
    </cfRule>
    <cfRule type="cellIs" priority="11" operator="equal" aboveAverage="0" equalAverage="0" bottom="0" percent="0" rank="0" text="" dxfId="3">
      <formula>"Unknown"</formula>
    </cfRule>
  </conditionalFormatting>
  <conditionalFormatting sqref="L24:L35">
    <cfRule type="cellIs" priority="12" operator="equal" aboveAverage="0" equalAverage="0" bottom="0" percent="0" rank="0" text="" dxfId="2">
      <formula>"Enough"</formula>
    </cfRule>
    <cfRule type="cellIs" priority="13" operator="equal" aboveAverage="0" equalAverage="0" bottom="0" percent="0" rank="0" text="" dxfId="2">
      <formula>"Enough (fair use)"</formula>
    </cfRule>
    <cfRule type="cellIs" priority="14" operator="equal" aboveAverage="0" equalAverage="0" bottom="0" percent="0" rank="0" text="" dxfId="1">
      <formula>"Tight"</formula>
    </cfRule>
    <cfRule type="cellIs" priority="15" operator="equal" aboveAverage="0" equalAverage="0" bottom="0" percent="0" rank="0" text="" dxfId="0">
      <formula>"Not enough"</formula>
    </cfRule>
    <cfRule type="cellIs" priority="16" operator="equal" aboveAverage="0" equalAverage="0" bottom="0" percent="0" rank="0" text="" dxfId="3">
      <formula>"Unknown"</formula>
    </cfRule>
  </conditionalFormatting>
  <conditionalFormatting sqref="J39:J66">
    <cfRule type="cellIs" priority="17" operator="equal" aboveAverage="0" equalAverage="0" bottom="0" percent="0" rank="0" text="" dxfId="0">
      <formula>"High"</formula>
    </cfRule>
    <cfRule type="cellIs" priority="18" operator="equal" aboveAverage="0" equalAverage="0" bottom="0" percent="0" rank="0" text="" dxfId="1">
      <formula>"Medium"</formula>
    </cfRule>
    <cfRule type="cellIs" priority="19" operator="equal" aboveAverage="0" equalAverage="0" bottom="0" percent="0" rank="0" text="" dxfId="4">
      <formula>"Low"</formula>
    </cfRule>
    <cfRule type="cellIs" priority="20" operator="equal" aboveAverage="0" equalAverage="0" bottom="0" percent="0" rank="0" text="" dxfId="2">
      <formula>"OK"</formula>
    </cfRule>
    <cfRule type="cellIs" priority="21" operator="equal" aboveAverage="0" equalAverage="0" bottom="0" percent="0" rank="0" text="" dxfId="3">
      <formula>"Check"</formula>
    </cfRule>
  </conditionalFormatting>
  <conditionalFormatting sqref="D74:L74">
    <cfRule type="cellIs" priority="22" operator="equal" aboveAverage="0" equalAverage="0" bottom="0" percent="0" rank="0" text="" dxfId="0">
      <formula>"NOT ENOUGH for enterprise as quoted"</formula>
    </cfRule>
    <cfRule type="cellIs" priority="23" operator="equal" aboveAverage="0" equalAverage="0" bottom="0" percent="0" rank="0" text="" dxfId="1">
      <formula>"Enterprise-capable with conditions"</formula>
    </cfRule>
    <cfRule type="cellIs" priority="24" operator="equal" aboveAverage="0" equalAverage="0" bottom="0" percent="0" rank="0" text="" dxfId="2">
      <formula>"Enterprise-ready"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44"/>
  </cols>
  <sheetData>
    <row r="1" customFormat="false" ht="31.5" hidden="false" customHeight="true" outlineLevel="0" collapsed="false">
      <c r="A1" s="1" t="s">
        <v>314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315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119</v>
      </c>
      <c r="B4" s="3" t="s">
        <v>316</v>
      </c>
      <c r="C4" s="4" t="s">
        <v>2</v>
      </c>
      <c r="D4" s="4" t="s">
        <v>317</v>
      </c>
      <c r="E4" s="5" t="s">
        <v>3</v>
      </c>
      <c r="F4" s="5" t="s">
        <v>318</v>
      </c>
      <c r="G4" s="6" t="s">
        <v>4</v>
      </c>
      <c r="H4" s="6" t="s">
        <v>319</v>
      </c>
    </row>
    <row r="5" customFormat="false" ht="57.75" hidden="false" customHeight="true" outlineLevel="0" collapsed="false">
      <c r="A5" s="8" t="n">
        <v>1</v>
      </c>
      <c r="B5" s="7" t="s">
        <v>320</v>
      </c>
      <c r="C5" s="8" t="s">
        <v>321</v>
      </c>
      <c r="D5" s="14" t="s">
        <v>322</v>
      </c>
      <c r="E5" s="8" t="s">
        <v>321</v>
      </c>
      <c r="F5" s="14" t="s">
        <v>323</v>
      </c>
      <c r="G5" s="8" t="s">
        <v>321</v>
      </c>
      <c r="H5" s="14" t="s">
        <v>324</v>
      </c>
    </row>
    <row r="6" customFormat="false" ht="57.75" hidden="false" customHeight="true" outlineLevel="0" collapsed="false">
      <c r="A6" s="8" t="n">
        <v>2</v>
      </c>
      <c r="B6" s="7" t="s">
        <v>325</v>
      </c>
      <c r="C6" s="8" t="s">
        <v>321</v>
      </c>
      <c r="D6" s="14" t="s">
        <v>326</v>
      </c>
      <c r="E6" s="8" t="s">
        <v>321</v>
      </c>
      <c r="F6" s="14" t="s">
        <v>327</v>
      </c>
      <c r="G6" s="8" t="s">
        <v>321</v>
      </c>
      <c r="H6" s="14" t="s">
        <v>328</v>
      </c>
    </row>
    <row r="7" customFormat="false" ht="57.75" hidden="false" customHeight="true" outlineLevel="0" collapsed="false">
      <c r="A7" s="8" t="n">
        <v>3</v>
      </c>
      <c r="B7" s="7" t="s">
        <v>329</v>
      </c>
      <c r="C7" s="8" t="s">
        <v>321</v>
      </c>
      <c r="D7" s="14" t="s">
        <v>330</v>
      </c>
      <c r="E7" s="8" t="s">
        <v>331</v>
      </c>
      <c r="F7" s="14" t="s">
        <v>332</v>
      </c>
      <c r="G7" s="8" t="s">
        <v>331</v>
      </c>
      <c r="H7" s="14" t="s">
        <v>333</v>
      </c>
    </row>
    <row r="8" customFormat="false" ht="57.75" hidden="false" customHeight="true" outlineLevel="0" collapsed="false">
      <c r="A8" s="8" t="n">
        <v>4</v>
      </c>
      <c r="B8" s="7" t="s">
        <v>334</v>
      </c>
      <c r="C8" s="8" t="s">
        <v>331</v>
      </c>
      <c r="D8" s="14" t="s">
        <v>335</v>
      </c>
      <c r="E8" s="8" t="s">
        <v>321</v>
      </c>
      <c r="F8" s="14" t="s">
        <v>336</v>
      </c>
      <c r="G8" s="8" t="s">
        <v>337</v>
      </c>
      <c r="H8" s="14" t="s">
        <v>338</v>
      </c>
    </row>
    <row r="9" customFormat="false" ht="57.75" hidden="false" customHeight="true" outlineLevel="0" collapsed="false">
      <c r="A9" s="8" t="n">
        <v>5</v>
      </c>
      <c r="B9" s="7" t="s">
        <v>339</v>
      </c>
      <c r="C9" s="8" t="s">
        <v>340</v>
      </c>
      <c r="D9" s="14" t="s">
        <v>341</v>
      </c>
      <c r="E9" s="8" t="s">
        <v>331</v>
      </c>
      <c r="F9" s="14" t="s">
        <v>342</v>
      </c>
      <c r="G9" s="8" t="s">
        <v>331</v>
      </c>
      <c r="H9" s="14" t="s">
        <v>343</v>
      </c>
    </row>
    <row r="10" customFormat="false" ht="57.75" hidden="false" customHeight="true" outlineLevel="0" collapsed="false">
      <c r="A10" s="8" t="n">
        <v>6</v>
      </c>
      <c r="B10" s="7" t="s">
        <v>344</v>
      </c>
      <c r="C10" s="8" t="s">
        <v>340</v>
      </c>
      <c r="D10" s="14" t="s">
        <v>345</v>
      </c>
      <c r="E10" s="8" t="s">
        <v>331</v>
      </c>
      <c r="F10" s="14" t="s">
        <v>346</v>
      </c>
      <c r="G10" s="8" t="s">
        <v>331</v>
      </c>
      <c r="H10" s="14" t="s">
        <v>347</v>
      </c>
    </row>
    <row r="11" customFormat="false" ht="57.75" hidden="false" customHeight="true" outlineLevel="0" collapsed="false">
      <c r="A11" s="8" t="n">
        <v>7</v>
      </c>
      <c r="B11" s="7" t="s">
        <v>348</v>
      </c>
      <c r="C11" s="8" t="s">
        <v>340</v>
      </c>
      <c r="D11" s="14" t="s">
        <v>349</v>
      </c>
      <c r="E11" s="8" t="s">
        <v>321</v>
      </c>
      <c r="F11" s="14" t="s">
        <v>350</v>
      </c>
      <c r="G11" s="8" t="s">
        <v>337</v>
      </c>
      <c r="H11" s="14" t="s">
        <v>351</v>
      </c>
    </row>
    <row r="12" customFormat="false" ht="57.75" hidden="false" customHeight="true" outlineLevel="0" collapsed="false">
      <c r="A12" s="8" t="n">
        <v>8</v>
      </c>
      <c r="B12" s="7" t="s">
        <v>352</v>
      </c>
      <c r="C12" s="8" t="s">
        <v>321</v>
      </c>
      <c r="D12" s="14" t="s">
        <v>353</v>
      </c>
      <c r="E12" s="8" t="s">
        <v>321</v>
      </c>
      <c r="F12" s="14" t="s">
        <v>354</v>
      </c>
      <c r="G12" s="8" t="s">
        <v>337</v>
      </c>
      <c r="H12" s="14" t="s">
        <v>338</v>
      </c>
    </row>
    <row r="13" customFormat="false" ht="57.75" hidden="false" customHeight="true" outlineLevel="0" collapsed="false">
      <c r="A13" s="8" t="n">
        <v>9</v>
      </c>
      <c r="B13" s="7" t="s">
        <v>355</v>
      </c>
      <c r="C13" s="8" t="s">
        <v>340</v>
      </c>
      <c r="D13" s="14" t="s">
        <v>356</v>
      </c>
      <c r="E13" s="8" t="s">
        <v>321</v>
      </c>
      <c r="F13" s="14" t="s">
        <v>357</v>
      </c>
      <c r="G13" s="8" t="s">
        <v>337</v>
      </c>
      <c r="H13" s="14" t="s">
        <v>338</v>
      </c>
    </row>
    <row r="14" customFormat="false" ht="57.75" hidden="false" customHeight="true" outlineLevel="0" collapsed="false">
      <c r="A14" s="8" t="n">
        <v>10</v>
      </c>
      <c r="B14" s="7" t="s">
        <v>358</v>
      </c>
      <c r="C14" s="8" t="s">
        <v>321</v>
      </c>
      <c r="D14" s="14" t="s">
        <v>359</v>
      </c>
      <c r="E14" s="8" t="s">
        <v>331</v>
      </c>
      <c r="F14" s="14" t="s">
        <v>360</v>
      </c>
      <c r="G14" s="8" t="s">
        <v>321</v>
      </c>
      <c r="H14" s="14" t="s">
        <v>361</v>
      </c>
    </row>
    <row r="15" customFormat="false" ht="57.75" hidden="false" customHeight="true" outlineLevel="0" collapsed="false">
      <c r="A15" s="8" t="n">
        <v>11</v>
      </c>
      <c r="B15" s="7" t="s">
        <v>362</v>
      </c>
      <c r="C15" s="8" t="s">
        <v>321</v>
      </c>
      <c r="D15" s="14" t="s">
        <v>363</v>
      </c>
      <c r="E15" s="8" t="s">
        <v>337</v>
      </c>
      <c r="F15" s="14" t="s">
        <v>364</v>
      </c>
      <c r="G15" s="8" t="s">
        <v>337</v>
      </c>
      <c r="H15" s="14" t="s">
        <v>365</v>
      </c>
    </row>
    <row r="16" customFormat="false" ht="57.75" hidden="false" customHeight="true" outlineLevel="0" collapsed="false">
      <c r="A16" s="8" t="n">
        <v>12</v>
      </c>
      <c r="B16" s="7" t="s">
        <v>366</v>
      </c>
      <c r="C16" s="8" t="s">
        <v>340</v>
      </c>
      <c r="D16" s="14" t="s">
        <v>367</v>
      </c>
      <c r="E16" s="8" t="s">
        <v>331</v>
      </c>
      <c r="F16" s="14" t="s">
        <v>368</v>
      </c>
      <c r="G16" s="8" t="s">
        <v>321</v>
      </c>
      <c r="H16" s="14" t="s">
        <v>369</v>
      </c>
    </row>
    <row r="18" customFormat="false" ht="15" hidden="false" customHeight="false" outlineLevel="0" collapsed="false">
      <c r="B18" s="25" t="s">
        <v>370</v>
      </c>
    </row>
    <row r="19" customFormat="false" ht="30" hidden="false" customHeight="true" outlineLevel="0" collapsed="false">
      <c r="A19" s="3"/>
      <c r="B19" s="3" t="s">
        <v>371</v>
      </c>
      <c r="C19" s="3" t="s">
        <v>2</v>
      </c>
      <c r="D19" s="3"/>
      <c r="E19" s="3" t="s">
        <v>3</v>
      </c>
      <c r="F19" s="3"/>
      <c r="G19" s="3" t="s">
        <v>4</v>
      </c>
      <c r="H19" s="3"/>
    </row>
    <row r="20" customFormat="false" ht="15" hidden="false" customHeight="false" outlineLevel="0" collapsed="false">
      <c r="B20" s="44" t="s">
        <v>331</v>
      </c>
      <c r="C20" s="13" t="n">
        <f aca="false">COUNTIF(C$5:C$16,$B20)</f>
        <v>1</v>
      </c>
      <c r="E20" s="13" t="n">
        <f aca="false">COUNTIF(E$5:E$16,$B20)</f>
        <v>5</v>
      </c>
      <c r="G20" s="13" t="n">
        <f aca="false">COUNTIF(G$5:G$16,$B20)</f>
        <v>3</v>
      </c>
    </row>
    <row r="21" customFormat="false" ht="15" hidden="false" customHeight="false" outlineLevel="0" collapsed="false">
      <c r="B21" s="45" t="s">
        <v>321</v>
      </c>
      <c r="C21" s="13" t="n">
        <f aca="false">COUNTIF(C$5:C$16,$B21)</f>
        <v>6</v>
      </c>
      <c r="E21" s="13" t="n">
        <f aca="false">COUNTIF(E$5:E$16,$B21)</f>
        <v>6</v>
      </c>
      <c r="G21" s="13" t="n">
        <f aca="false">COUNTIF(G$5:G$16,$B21)</f>
        <v>4</v>
      </c>
    </row>
    <row r="22" customFormat="false" ht="15" hidden="false" customHeight="false" outlineLevel="0" collapsed="false">
      <c r="B22" s="46" t="s">
        <v>340</v>
      </c>
      <c r="C22" s="13" t="n">
        <f aca="false">COUNTIF(C$5:C$16,$B22)</f>
        <v>5</v>
      </c>
      <c r="E22" s="13" t="n">
        <f aca="false">COUNTIF(E$5:E$16,$B22)</f>
        <v>0</v>
      </c>
      <c r="G22" s="13" t="n">
        <f aca="false">COUNTIF(G$5:G$16,$B22)</f>
        <v>0</v>
      </c>
    </row>
    <row r="23" customFormat="false" ht="15" hidden="false" customHeight="false" outlineLevel="0" collapsed="false">
      <c r="B23" s="47" t="s">
        <v>337</v>
      </c>
      <c r="C23" s="13" t="n">
        <f aca="false">COUNTIF(C$5:C$16,$B23)</f>
        <v>0</v>
      </c>
      <c r="E23" s="13" t="n">
        <f aca="false">COUNTIF(E$5:E$16,$B23)</f>
        <v>1</v>
      </c>
      <c r="G23" s="13" t="n">
        <f aca="false">COUNTIF(G$5:G$16,$B23)</f>
        <v>5</v>
      </c>
    </row>
  </sheetData>
  <mergeCells count="2">
    <mergeCell ref="A1:H1"/>
    <mergeCell ref="A2:H2"/>
  </mergeCells>
  <conditionalFormatting sqref="C5:C16">
    <cfRule type="cellIs" priority="2" operator="equal" aboveAverage="0" equalAverage="0" bottom="0" percent="0" rank="0" text="" dxfId="2">
      <formula>"Meets"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0">
      <formula>"Gap"</formula>
    </cfRule>
    <cfRule type="cellIs" priority="5" operator="equal" aboveAverage="0" equalAverage="0" bottom="0" percent="0" rank="0" text="" dxfId="3">
      <formula>"Not confirmed"</formula>
    </cfRule>
  </conditionalFormatting>
  <conditionalFormatting sqref="E5:E16">
    <cfRule type="cellIs" priority="6" operator="equal" aboveAverage="0" equalAverage="0" bottom="0" percent="0" rank="0" text="" dxfId="2">
      <formula>"Meets"</formula>
    </cfRule>
    <cfRule type="cellIs" priority="7" operator="equal" aboveAverage="0" equalAverage="0" bottom="0" percent="0" rank="0" text="" dxfId="1">
      <formula>"Partial"</formula>
    </cfRule>
    <cfRule type="cellIs" priority="8" operator="equal" aboveAverage="0" equalAverage="0" bottom="0" percent="0" rank="0" text="" dxfId="0">
      <formula>"Gap"</formula>
    </cfRule>
    <cfRule type="cellIs" priority="9" operator="equal" aboveAverage="0" equalAverage="0" bottom="0" percent="0" rank="0" text="" dxfId="3">
      <formula>"Not confirmed"</formula>
    </cfRule>
  </conditionalFormatting>
  <conditionalFormatting sqref="G5:G16">
    <cfRule type="cellIs" priority="10" operator="equal" aboveAverage="0" equalAverage="0" bottom="0" percent="0" rank="0" text="" dxfId="2">
      <formula>"Meets"</formula>
    </cfRule>
    <cfRule type="cellIs" priority="11" operator="equal" aboveAverage="0" equalAverage="0" bottom="0" percent="0" rank="0" text="" dxfId="1">
      <formula>"Partial"</formula>
    </cfRule>
    <cfRule type="cellIs" priority="12" operator="equal" aboveAverage="0" equalAverage="0" bottom="0" percent="0" rank="0" text="" dxfId="0">
      <formula>"Gap"</formula>
    </cfRule>
    <cfRule type="cellIs" priority="13" operator="equal" aboveAverage="0" equalAverage="0" bottom="0" percent="0" rank="0" text="" dxfId="3">
      <formula>"Not confirmed"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5" min="4" style="0" width="44"/>
  </cols>
  <sheetData>
    <row r="1" customFormat="false" ht="31.5" hidden="false" customHeight="true" outlineLevel="0" collapsed="false">
      <c r="A1" s="1" t="s">
        <v>372</v>
      </c>
      <c r="B1" s="1"/>
      <c r="C1" s="1"/>
      <c r="D1" s="1"/>
      <c r="E1" s="1"/>
    </row>
    <row r="2" customFormat="false" ht="30" hidden="false" customHeight="true" outlineLevel="0" collapsed="false">
      <c r="A2" s="2" t="s">
        <v>373</v>
      </c>
      <c r="B2" s="2"/>
      <c r="C2" s="2"/>
      <c r="D2" s="2"/>
      <c r="E2" s="2"/>
    </row>
    <row r="4" customFormat="false" ht="30" hidden="false" customHeight="true" outlineLevel="0" collapsed="false">
      <c r="A4" s="3" t="s">
        <v>374</v>
      </c>
      <c r="B4" s="3" t="s">
        <v>375</v>
      </c>
      <c r="C4" s="4" t="s">
        <v>2</v>
      </c>
      <c r="D4" s="5" t="s">
        <v>3</v>
      </c>
      <c r="E4" s="6" t="s">
        <v>4</v>
      </c>
    </row>
    <row r="5" customFormat="false" ht="15" hidden="false" customHeight="false" outlineLevel="0" collapsed="false">
      <c r="A5" s="48" t="s">
        <v>376</v>
      </c>
      <c r="B5" s="48"/>
      <c r="C5" s="48"/>
      <c r="D5" s="48"/>
      <c r="E5" s="48"/>
    </row>
    <row r="6" customFormat="false" ht="31.5" hidden="false" customHeight="true" outlineLevel="0" collapsed="false">
      <c r="A6" s="14" t="s">
        <v>377</v>
      </c>
      <c r="B6" s="7" t="s">
        <v>378</v>
      </c>
      <c r="C6" s="14" t="s">
        <v>379</v>
      </c>
      <c r="D6" s="14" t="s">
        <v>380</v>
      </c>
      <c r="E6" s="14" t="s">
        <v>381</v>
      </c>
    </row>
    <row r="7" customFormat="false" ht="31.5" hidden="false" customHeight="true" outlineLevel="0" collapsed="false">
      <c r="A7" s="14" t="s">
        <v>377</v>
      </c>
      <c r="B7" s="7" t="s">
        <v>382</v>
      </c>
      <c r="C7" s="14" t="s">
        <v>383</v>
      </c>
      <c r="D7" s="14" t="s">
        <v>384</v>
      </c>
      <c r="E7" s="14" t="s">
        <v>385</v>
      </c>
    </row>
    <row r="8" customFormat="false" ht="31.5" hidden="false" customHeight="true" outlineLevel="0" collapsed="false">
      <c r="A8" s="14" t="s">
        <v>377</v>
      </c>
      <c r="B8" s="7" t="s">
        <v>386</v>
      </c>
      <c r="C8" s="49" t="s">
        <v>387</v>
      </c>
      <c r="D8" s="14" t="s">
        <v>388</v>
      </c>
      <c r="E8" s="49" t="s">
        <v>389</v>
      </c>
    </row>
    <row r="9" customFormat="false" ht="31.5" hidden="false" customHeight="true" outlineLevel="0" collapsed="false">
      <c r="A9" s="14" t="s">
        <v>377</v>
      </c>
      <c r="B9" s="7" t="s">
        <v>390</v>
      </c>
      <c r="C9" s="49" t="s">
        <v>387</v>
      </c>
      <c r="D9" s="14" t="s">
        <v>391</v>
      </c>
      <c r="E9" s="14" t="s">
        <v>392</v>
      </c>
    </row>
    <row r="10" customFormat="false" ht="15" hidden="false" customHeight="false" outlineLevel="0" collapsed="false">
      <c r="A10" s="48" t="s">
        <v>393</v>
      </c>
      <c r="B10" s="48"/>
      <c r="C10" s="48"/>
      <c r="D10" s="48"/>
      <c r="E10" s="48"/>
    </row>
    <row r="11" customFormat="false" ht="31.5" hidden="false" customHeight="true" outlineLevel="0" collapsed="false">
      <c r="A11" s="14" t="s">
        <v>394</v>
      </c>
      <c r="B11" s="7" t="s">
        <v>395</v>
      </c>
      <c r="C11" s="49" t="s">
        <v>387</v>
      </c>
      <c r="D11" s="14" t="s">
        <v>396</v>
      </c>
      <c r="E11" s="14" t="s">
        <v>397</v>
      </c>
    </row>
    <row r="12" customFormat="false" ht="31.5" hidden="false" customHeight="true" outlineLevel="0" collapsed="false">
      <c r="A12" s="14" t="s">
        <v>394</v>
      </c>
      <c r="B12" s="7" t="s">
        <v>398</v>
      </c>
      <c r="C12" s="49" t="s">
        <v>387</v>
      </c>
      <c r="D12" s="14" t="s">
        <v>399</v>
      </c>
      <c r="E12" s="49" t="s">
        <v>389</v>
      </c>
    </row>
    <row r="13" customFormat="false" ht="31.5" hidden="false" customHeight="true" outlineLevel="0" collapsed="false">
      <c r="A13" s="14" t="s">
        <v>394</v>
      </c>
      <c r="B13" s="7" t="s">
        <v>400</v>
      </c>
      <c r="C13" s="49" t="s">
        <v>387</v>
      </c>
      <c r="D13" s="14" t="s">
        <v>401</v>
      </c>
      <c r="E13" s="14" t="s">
        <v>402</v>
      </c>
    </row>
    <row r="14" customFormat="false" ht="31.5" hidden="false" customHeight="true" outlineLevel="0" collapsed="false">
      <c r="A14" s="14" t="s">
        <v>394</v>
      </c>
      <c r="B14" s="7" t="s">
        <v>403</v>
      </c>
      <c r="C14" s="49" t="s">
        <v>387</v>
      </c>
      <c r="D14" s="14" t="s">
        <v>404</v>
      </c>
      <c r="E14" s="49" t="s">
        <v>389</v>
      </c>
    </row>
    <row r="15" customFormat="false" ht="15" hidden="false" customHeight="false" outlineLevel="0" collapsed="false">
      <c r="A15" s="48" t="s">
        <v>405</v>
      </c>
      <c r="B15" s="48"/>
      <c r="C15" s="48"/>
      <c r="D15" s="48"/>
      <c r="E15" s="48"/>
    </row>
    <row r="16" customFormat="false" ht="31.5" hidden="false" customHeight="true" outlineLevel="0" collapsed="false">
      <c r="A16" s="14" t="s">
        <v>406</v>
      </c>
      <c r="B16" s="7" t="s">
        <v>407</v>
      </c>
      <c r="C16" s="14" t="s">
        <v>408</v>
      </c>
      <c r="D16" s="14" t="s">
        <v>202</v>
      </c>
      <c r="E16" s="49" t="s">
        <v>409</v>
      </c>
    </row>
    <row r="17" customFormat="false" ht="31.5" hidden="false" customHeight="true" outlineLevel="0" collapsed="false">
      <c r="A17" s="14" t="s">
        <v>406</v>
      </c>
      <c r="B17" s="7" t="s">
        <v>410</v>
      </c>
      <c r="C17" s="14" t="s">
        <v>408</v>
      </c>
      <c r="D17" s="14" t="s">
        <v>411</v>
      </c>
      <c r="E17" s="49" t="s">
        <v>409</v>
      </c>
    </row>
    <row r="18" customFormat="false" ht="31.5" hidden="false" customHeight="true" outlineLevel="0" collapsed="false">
      <c r="A18" s="14" t="s">
        <v>406</v>
      </c>
      <c r="B18" s="7" t="s">
        <v>412</v>
      </c>
      <c r="C18" s="49" t="s">
        <v>387</v>
      </c>
      <c r="D18" s="14" t="s">
        <v>413</v>
      </c>
      <c r="E18" s="14" t="s">
        <v>414</v>
      </c>
    </row>
    <row r="19" customFormat="false" ht="31.5" hidden="false" customHeight="true" outlineLevel="0" collapsed="false">
      <c r="A19" s="14" t="s">
        <v>406</v>
      </c>
      <c r="B19" s="7" t="s">
        <v>415</v>
      </c>
      <c r="C19" s="14" t="s">
        <v>416</v>
      </c>
      <c r="D19" s="14" t="s">
        <v>202</v>
      </c>
      <c r="E19" s="14" t="s">
        <v>417</v>
      </c>
    </row>
    <row r="20" customFormat="false" ht="31.5" hidden="false" customHeight="true" outlineLevel="0" collapsed="false">
      <c r="A20" s="14" t="s">
        <v>406</v>
      </c>
      <c r="B20" s="7" t="s">
        <v>418</v>
      </c>
      <c r="C20" s="49" t="s">
        <v>387</v>
      </c>
      <c r="D20" s="49" t="s">
        <v>101</v>
      </c>
      <c r="E20" s="14" t="s">
        <v>419</v>
      </c>
    </row>
    <row r="21" customFormat="false" ht="31.5" hidden="false" customHeight="true" outlineLevel="0" collapsed="false">
      <c r="A21" s="14" t="s">
        <v>406</v>
      </c>
      <c r="B21" s="7" t="s">
        <v>420</v>
      </c>
      <c r="C21" s="49" t="s">
        <v>387</v>
      </c>
      <c r="D21" s="14" t="s">
        <v>421</v>
      </c>
      <c r="E21" s="49" t="s">
        <v>101</v>
      </c>
    </row>
    <row r="22" customFormat="false" ht="15" hidden="false" customHeight="false" outlineLevel="0" collapsed="false">
      <c r="A22" s="48" t="s">
        <v>422</v>
      </c>
      <c r="B22" s="48"/>
      <c r="C22" s="48"/>
      <c r="D22" s="48"/>
      <c r="E22" s="48"/>
    </row>
    <row r="23" customFormat="false" ht="31.5" hidden="false" customHeight="true" outlineLevel="0" collapsed="false">
      <c r="A23" s="14" t="s">
        <v>423</v>
      </c>
      <c r="B23" s="7" t="s">
        <v>424</v>
      </c>
      <c r="C23" s="14" t="s">
        <v>425</v>
      </c>
      <c r="D23" s="14" t="s">
        <v>202</v>
      </c>
      <c r="E23" s="14" t="s">
        <v>426</v>
      </c>
    </row>
    <row r="24" customFormat="false" ht="31.5" hidden="false" customHeight="true" outlineLevel="0" collapsed="false">
      <c r="A24" s="14" t="s">
        <v>423</v>
      </c>
      <c r="B24" s="7" t="s">
        <v>427</v>
      </c>
      <c r="C24" s="14" t="s">
        <v>428</v>
      </c>
      <c r="D24" s="14" t="s">
        <v>202</v>
      </c>
      <c r="E24" s="14" t="s">
        <v>85</v>
      </c>
    </row>
    <row r="25" customFormat="false" ht="31.5" hidden="false" customHeight="true" outlineLevel="0" collapsed="false">
      <c r="A25" s="14" t="s">
        <v>423</v>
      </c>
      <c r="B25" s="7" t="s">
        <v>429</v>
      </c>
      <c r="C25" s="49" t="s">
        <v>387</v>
      </c>
      <c r="D25" s="14" t="s">
        <v>430</v>
      </c>
      <c r="E25" s="14" t="s">
        <v>431</v>
      </c>
    </row>
    <row r="26" customFormat="false" ht="31.5" hidden="false" customHeight="true" outlineLevel="0" collapsed="false">
      <c r="A26" s="14" t="s">
        <v>423</v>
      </c>
      <c r="B26" s="7" t="s">
        <v>432</v>
      </c>
      <c r="C26" s="49" t="s">
        <v>387</v>
      </c>
      <c r="D26" s="14" t="s">
        <v>433</v>
      </c>
      <c r="E26" s="14" t="s">
        <v>434</v>
      </c>
    </row>
    <row r="27" customFormat="false" ht="15" hidden="false" customHeight="false" outlineLevel="0" collapsed="false">
      <c r="A27" s="48" t="s">
        <v>435</v>
      </c>
      <c r="B27" s="48"/>
      <c r="C27" s="48"/>
      <c r="D27" s="48"/>
      <c r="E27" s="48"/>
    </row>
    <row r="28" customFormat="false" ht="31.5" hidden="false" customHeight="true" outlineLevel="0" collapsed="false">
      <c r="A28" s="14" t="s">
        <v>436</v>
      </c>
      <c r="B28" s="7" t="s">
        <v>437</v>
      </c>
      <c r="C28" s="49" t="s">
        <v>387</v>
      </c>
      <c r="D28" s="14" t="s">
        <v>438</v>
      </c>
      <c r="E28" s="14" t="s">
        <v>439</v>
      </c>
    </row>
    <row r="29" customFormat="false" ht="31.5" hidden="false" customHeight="true" outlineLevel="0" collapsed="false">
      <c r="A29" s="14" t="s">
        <v>436</v>
      </c>
      <c r="B29" s="7" t="s">
        <v>440</v>
      </c>
      <c r="C29" s="49" t="s">
        <v>387</v>
      </c>
      <c r="D29" s="14" t="s">
        <v>441</v>
      </c>
      <c r="E29" s="14" t="s">
        <v>442</v>
      </c>
    </row>
    <row r="30" customFormat="false" ht="15" hidden="false" customHeight="false" outlineLevel="0" collapsed="false">
      <c r="A30" s="48" t="s">
        <v>443</v>
      </c>
      <c r="B30" s="48"/>
      <c r="C30" s="48"/>
      <c r="D30" s="48"/>
      <c r="E30" s="48"/>
    </row>
    <row r="31" customFormat="false" ht="31.5" hidden="false" customHeight="true" outlineLevel="0" collapsed="false">
      <c r="A31" s="14" t="s">
        <v>444</v>
      </c>
      <c r="B31" s="7" t="s">
        <v>445</v>
      </c>
      <c r="C31" s="49" t="s">
        <v>387</v>
      </c>
      <c r="D31" s="14" t="s">
        <v>446</v>
      </c>
      <c r="E31" s="14" t="s">
        <v>447</v>
      </c>
    </row>
    <row r="32" customFormat="false" ht="31.5" hidden="false" customHeight="true" outlineLevel="0" collapsed="false">
      <c r="A32" s="14" t="s">
        <v>444</v>
      </c>
      <c r="B32" s="7" t="s">
        <v>448</v>
      </c>
      <c r="C32" s="14" t="s">
        <v>449</v>
      </c>
      <c r="D32" s="14" t="s">
        <v>202</v>
      </c>
      <c r="E32" s="14" t="s">
        <v>450</v>
      </c>
    </row>
    <row r="33" customFormat="false" ht="31.5" hidden="false" customHeight="true" outlineLevel="0" collapsed="false">
      <c r="A33" s="14" t="s">
        <v>444</v>
      </c>
      <c r="B33" s="7" t="s">
        <v>451</v>
      </c>
      <c r="C33" s="49" t="s">
        <v>387</v>
      </c>
      <c r="D33" s="14" t="s">
        <v>452</v>
      </c>
      <c r="E33" s="14" t="s">
        <v>453</v>
      </c>
    </row>
    <row r="34" customFormat="false" ht="31.5" hidden="false" customHeight="true" outlineLevel="0" collapsed="false">
      <c r="A34" s="14" t="s">
        <v>444</v>
      </c>
      <c r="B34" s="7" t="s">
        <v>454</v>
      </c>
      <c r="C34" s="14" t="s">
        <v>455</v>
      </c>
      <c r="D34" s="14" t="s">
        <v>456</v>
      </c>
      <c r="E34" s="14" t="s">
        <v>457</v>
      </c>
    </row>
    <row r="35" customFormat="false" ht="31.5" hidden="false" customHeight="true" outlineLevel="0" collapsed="false">
      <c r="A35" s="14" t="s">
        <v>444</v>
      </c>
      <c r="B35" s="7" t="s">
        <v>458</v>
      </c>
      <c r="C35" s="49" t="s">
        <v>387</v>
      </c>
      <c r="D35" s="14" t="s">
        <v>202</v>
      </c>
      <c r="E35" s="14" t="s">
        <v>459</v>
      </c>
    </row>
    <row r="36" customFormat="false" ht="31.5" hidden="false" customHeight="true" outlineLevel="0" collapsed="false">
      <c r="A36" s="14" t="s">
        <v>444</v>
      </c>
      <c r="B36" s="7" t="s">
        <v>460</v>
      </c>
      <c r="C36" s="14" t="s">
        <v>461</v>
      </c>
      <c r="D36" s="14" t="s">
        <v>462</v>
      </c>
      <c r="E36" s="14" t="s">
        <v>463</v>
      </c>
    </row>
    <row r="37" customFormat="false" ht="31.5" hidden="false" customHeight="true" outlineLevel="0" collapsed="false">
      <c r="A37" s="14" t="s">
        <v>444</v>
      </c>
      <c r="B37" s="7" t="s">
        <v>464</v>
      </c>
      <c r="C37" s="49" t="s">
        <v>387</v>
      </c>
      <c r="D37" s="14" t="s">
        <v>465</v>
      </c>
      <c r="E37" s="14" t="s">
        <v>466</v>
      </c>
    </row>
    <row r="38" customFormat="false" ht="15" hidden="false" customHeight="false" outlineLevel="0" collapsed="false">
      <c r="A38" s="48" t="s">
        <v>467</v>
      </c>
      <c r="B38" s="48"/>
      <c r="C38" s="48"/>
      <c r="D38" s="48"/>
      <c r="E38" s="48"/>
    </row>
    <row r="39" customFormat="false" ht="31.5" hidden="false" customHeight="true" outlineLevel="0" collapsed="false">
      <c r="A39" s="14" t="s">
        <v>468</v>
      </c>
      <c r="B39" s="7" t="s">
        <v>469</v>
      </c>
      <c r="C39" s="49" t="s">
        <v>387</v>
      </c>
      <c r="D39" s="14" t="s">
        <v>470</v>
      </c>
      <c r="E39" s="14" t="s">
        <v>471</v>
      </c>
    </row>
    <row r="40" customFormat="false" ht="31.5" hidden="false" customHeight="true" outlineLevel="0" collapsed="false">
      <c r="A40" s="14" t="s">
        <v>468</v>
      </c>
      <c r="B40" s="7" t="s">
        <v>472</v>
      </c>
      <c r="C40" s="49" t="s">
        <v>387</v>
      </c>
      <c r="D40" s="49" t="s">
        <v>473</v>
      </c>
      <c r="E40" s="14" t="s">
        <v>474</v>
      </c>
    </row>
    <row r="41" customFormat="false" ht="31.5" hidden="false" customHeight="true" outlineLevel="0" collapsed="false">
      <c r="A41" s="14" t="s">
        <v>468</v>
      </c>
      <c r="B41" s="7" t="s">
        <v>475</v>
      </c>
      <c r="C41" s="49" t="s">
        <v>387</v>
      </c>
      <c r="D41" s="14" t="s">
        <v>476</v>
      </c>
      <c r="E41" s="14" t="s">
        <v>477</v>
      </c>
    </row>
    <row r="42" customFormat="false" ht="31.5" hidden="false" customHeight="true" outlineLevel="0" collapsed="false">
      <c r="A42" s="14" t="s">
        <v>468</v>
      </c>
      <c r="B42" s="7" t="s">
        <v>478</v>
      </c>
      <c r="C42" s="49" t="s">
        <v>387</v>
      </c>
      <c r="D42" s="14" t="s">
        <v>479</v>
      </c>
      <c r="E42" s="14" t="s">
        <v>480</v>
      </c>
    </row>
    <row r="43" customFormat="false" ht="31.5" hidden="false" customHeight="true" outlineLevel="0" collapsed="false">
      <c r="A43" s="14" t="s">
        <v>468</v>
      </c>
      <c r="B43" s="7" t="s">
        <v>481</v>
      </c>
      <c r="C43" s="49" t="s">
        <v>387</v>
      </c>
      <c r="D43" s="14" t="s">
        <v>482</v>
      </c>
      <c r="E43" s="14" t="s">
        <v>483</v>
      </c>
    </row>
  </sheetData>
  <mergeCells count="9">
    <mergeCell ref="A1:E1"/>
    <mergeCell ref="A2:E2"/>
    <mergeCell ref="A5:E5"/>
    <mergeCell ref="A10:E10"/>
    <mergeCell ref="A15:E15"/>
    <mergeCell ref="A22:E22"/>
    <mergeCell ref="A27:E27"/>
    <mergeCell ref="A30:E30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48"/>
  </cols>
  <sheetData>
    <row r="1" customFormat="false" ht="31.5" hidden="false" customHeight="true" outlineLevel="0" collapsed="false">
      <c r="A1" s="1" t="s">
        <v>484</v>
      </c>
      <c r="B1" s="1"/>
      <c r="C1" s="1"/>
    </row>
    <row r="2" customFormat="false" ht="30" hidden="false" customHeight="true" outlineLevel="0" collapsed="false">
      <c r="A2" s="2" t="s">
        <v>485</v>
      </c>
      <c r="B2" s="2"/>
      <c r="C2" s="2"/>
    </row>
    <row r="4" customFormat="false" ht="30" hidden="false" customHeight="true" outlineLevel="0" collapsed="false">
      <c r="A4" s="4" t="s">
        <v>2</v>
      </c>
      <c r="B4" s="5" t="s">
        <v>3</v>
      </c>
      <c r="C4" s="6" t="s">
        <v>4</v>
      </c>
    </row>
    <row r="5" customFormat="false" ht="33.75" hidden="false" customHeight="true" outlineLevel="0" collapsed="false">
      <c r="A5" s="14" t="s">
        <v>486</v>
      </c>
      <c r="B5" s="14" t="s">
        <v>487</v>
      </c>
      <c r="C5" s="14" t="s">
        <v>488</v>
      </c>
    </row>
    <row r="6" customFormat="false" ht="33.75" hidden="false" customHeight="true" outlineLevel="0" collapsed="false">
      <c r="A6" s="14" t="s">
        <v>489</v>
      </c>
      <c r="B6" s="14" t="s">
        <v>490</v>
      </c>
      <c r="C6" s="14" t="s">
        <v>491</v>
      </c>
    </row>
    <row r="7" customFormat="false" ht="33.75" hidden="false" customHeight="true" outlineLevel="0" collapsed="false">
      <c r="A7" s="14" t="s">
        <v>492</v>
      </c>
      <c r="B7" s="14" t="s">
        <v>493</v>
      </c>
      <c r="C7" s="14" t="s">
        <v>494</v>
      </c>
    </row>
    <row r="8" customFormat="false" ht="33.75" hidden="false" customHeight="true" outlineLevel="0" collapsed="false">
      <c r="A8" s="14" t="s">
        <v>495</v>
      </c>
      <c r="B8" s="14" t="s">
        <v>496</v>
      </c>
      <c r="C8" s="14" t="s">
        <v>497</v>
      </c>
    </row>
    <row r="9" customFormat="false" ht="33.75" hidden="false" customHeight="true" outlineLevel="0" collapsed="false">
      <c r="A9" s="14" t="s">
        <v>498</v>
      </c>
      <c r="B9" s="14" t="s">
        <v>499</v>
      </c>
      <c r="C9" s="14" t="s">
        <v>500</v>
      </c>
    </row>
    <row r="10" customFormat="false" ht="33.75" hidden="false" customHeight="true" outlineLevel="0" collapsed="false">
      <c r="A10" s="14" t="s">
        <v>501</v>
      </c>
      <c r="B10" s="14" t="s">
        <v>502</v>
      </c>
      <c r="C10" s="14" t="s">
        <v>503</v>
      </c>
    </row>
    <row r="12" customFormat="false" ht="15" hidden="false" customHeight="false" outlineLevel="0" collapsed="false">
      <c r="A12" s="25" t="s">
        <v>504</v>
      </c>
    </row>
    <row r="13" customFormat="false" ht="30" hidden="false" customHeight="true" outlineLevel="0" collapsed="false">
      <c r="A13" s="3" t="s">
        <v>223</v>
      </c>
      <c r="B13" s="3" t="s">
        <v>505</v>
      </c>
      <c r="C13" s="3"/>
    </row>
    <row r="14" customFormat="false" ht="30" hidden="false" customHeight="true" outlineLevel="0" collapsed="false">
      <c r="A14" s="7" t="s">
        <v>2</v>
      </c>
      <c r="B14" s="14" t="s">
        <v>506</v>
      </c>
      <c r="C14" s="14"/>
    </row>
    <row r="15" customFormat="false" ht="30" hidden="false" customHeight="true" outlineLevel="0" collapsed="false">
      <c r="A15" s="7" t="s">
        <v>3</v>
      </c>
      <c r="B15" s="14" t="s">
        <v>507</v>
      </c>
      <c r="C15" s="14"/>
    </row>
    <row r="16" customFormat="false" ht="30" hidden="false" customHeight="true" outlineLevel="0" collapsed="false">
      <c r="A16" s="7" t="s">
        <v>3</v>
      </c>
      <c r="B16" s="14" t="s">
        <v>508</v>
      </c>
      <c r="C16" s="14"/>
    </row>
    <row r="17" customFormat="false" ht="30" hidden="false" customHeight="true" outlineLevel="0" collapsed="false">
      <c r="A17" s="7" t="s">
        <v>4</v>
      </c>
      <c r="B17" s="14" t="s">
        <v>509</v>
      </c>
      <c r="C17" s="14"/>
    </row>
    <row r="18" customFormat="false" ht="30" hidden="false" customHeight="true" outlineLevel="0" collapsed="false">
      <c r="A18" s="7" t="s">
        <v>4</v>
      </c>
      <c r="B18" s="14" t="s">
        <v>510</v>
      </c>
      <c r="C18" s="14"/>
    </row>
    <row r="19" customFormat="false" ht="30" hidden="false" customHeight="true" outlineLevel="0" collapsed="false">
      <c r="A19" s="7" t="s">
        <v>511</v>
      </c>
      <c r="B19" s="14" t="s">
        <v>512</v>
      </c>
      <c r="C19" s="14"/>
    </row>
  </sheetData>
  <mergeCells count="9">
    <mergeCell ref="A1:C1"/>
    <mergeCell ref="A2:C2"/>
    <mergeCell ref="B13:C13"/>
    <mergeCell ref="B14:C14"/>
    <mergeCell ref="B15:C15"/>
    <mergeCell ref="B16:C16"/>
    <mergeCell ref="B17:C17"/>
    <mergeCell ref="B18:C18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2026-09-30T07:24:02Z</dcterms:created>
  <dc:creator>openpyxl</dc:creator>
  <dc:description/>
  <dc:language>en-US</dc:language>
  <cp:lastModifiedBy/>
  <dcterms:modified xsi:type="dcterms:W3CDTF">2026-09-30T07:24:02Z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